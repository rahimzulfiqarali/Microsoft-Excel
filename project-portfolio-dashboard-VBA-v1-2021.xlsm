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KHARI-COMPUTERS\Desktop\"/>
    </mc:Choice>
  </mc:AlternateContent>
  <xr:revisionPtr revIDLastSave="0" documentId="13_ncr:1_{E3E91C81-C70D-4606-AA02-AE509F6E8030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Home" sheetId="9" r:id="rId1"/>
    <sheet name="Dashboard" sheetId="5" r:id="rId2"/>
    <sheet name="Project Details" sheetId="2" r:id="rId3"/>
    <sheet name="Project Plans" sheetId="1" r:id="rId4"/>
    <sheet name="Risks &amp; Issues" sheetId="3" r:id="rId5"/>
    <sheet name="Settings" sheetId="6" r:id="rId6"/>
    <sheet name="Sorting" sheetId="7" state="hidden" r:id="rId7"/>
    <sheet name="Calculations" sheetId="4" state="hidden" r:id="rId8"/>
    <sheet name="Gantt View" sheetId="8" state="hidden" r:id="rId9"/>
  </sheets>
  <definedNames>
    <definedName name="dailyGantt">'Gantt View'!$B$9:$BY$25</definedName>
    <definedName name="lstActEnds">WORKDAY(INDEX(lstPlans,,2,Calculations!$B1)+0,INDEX(lstPlans,,3,Calculations!$B1)+0)</definedName>
    <definedName name="lstActStarts">INDEX(lstPlans,,2,Calculations!$B1)+0</definedName>
    <definedName name="lstGanttViews">Calculations!$J$23:$J$25</definedName>
    <definedName name="lstHolidays">tblHolidays[Date]</definedName>
    <definedName name="lstPeople">tblTeam[Name]</definedName>
    <definedName name="lstPlans">plan1[],plan2[],plan3[],plan4[],plan5[],plan6[],plan7[],plan8[],plan9[],plan10[]</definedName>
    <definedName name="lstPrjSortItems">Sorting!$L$15:INDEX(Sorting!$L$15:$L$64,Sorting!$F$11)</definedName>
    <definedName name="lstProjects">tblProjects[Project Name]</definedName>
    <definedName name="lstSortedPrjIDs">Sorting!$O$15:INDEX(Sorting!$O$15:$O$64,Sorting!$F$11)</definedName>
    <definedName name="lstSortTypes">Sorting!$B$4:$B$9</definedName>
    <definedName name="monthlyGantt">'Gantt View'!$EM$9:$FR$25</definedName>
    <definedName name="nextDate">CHOOSE(valGanttType,WORKDAY('Gantt View'!XFD$5,1,lstHolidays),'Gantt View'!XFD$5+7,EDATE('Gantt View'!XFD$5,1))</definedName>
    <definedName name="_xlnm.Print_Area" localSheetId="1">Dashboard!$A$1:$V$32</definedName>
    <definedName name="selGanttChart">CHOOSE(valGanttType,dailyGantt,weeklyGantt,monthlyGantt)</definedName>
    <definedName name="SelPlan">INDEX(lstPlans,Calculations!$C$22)</definedName>
    <definedName name="top5IssueDates">Calculations!$B$85</definedName>
    <definedName name="top5Issues">Calculations!$C$85</definedName>
    <definedName name="top5Risks">Calculations!$B$119</definedName>
    <definedName name="top5RiskSevs">Calculations!$C$119</definedName>
    <definedName name="valActComps">Calculations!$C$131</definedName>
    <definedName name="valActLabels">Calculations!$B$131</definedName>
    <definedName name="valAmberTh">Settings!$F$6</definedName>
    <definedName name="valDBShtName">Calculations!$B$164</definedName>
    <definedName name="valGanttStart">Calculations!$H$25</definedName>
    <definedName name="valGanttType">'Gantt View'!$C$6</definedName>
    <definedName name="valGreenTh">Settings!$F$5</definedName>
    <definedName name="valPrjComment">Calculations!$C$140</definedName>
    <definedName name="valPrjEmail">Calculations!$C$135</definedName>
    <definedName name="valPrjOwner">Calculations!$C$134</definedName>
    <definedName name="valPrjPhone">Calculations!$C$136</definedName>
    <definedName name="valProjectName">Calculations!$K$23</definedName>
    <definedName name="valSortType">Sorting!$C$11</definedName>
    <definedName name="valSP">Calculations!$C$3</definedName>
    <definedName name="valTeamSize">Calculations!$C$137</definedName>
    <definedName name="weeklyGantt">'Gantt View'!$CX$9:$EC$25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S9" i="8" l="1"/>
  <c r="CR9" i="8"/>
  <c r="CQ9" i="8"/>
  <c r="CP9" i="8"/>
  <c r="CN9" i="8"/>
  <c r="CM9" i="8"/>
  <c r="CL9" i="8"/>
  <c r="CK9" i="8"/>
  <c r="CI9" i="8"/>
  <c r="CH9" i="8"/>
  <c r="CG9" i="8"/>
  <c r="CF9" i="8"/>
  <c r="CD9" i="8"/>
  <c r="CC9" i="8"/>
  <c r="CB9" i="8"/>
  <c r="CA9" i="8"/>
  <c r="BY9" i="8"/>
  <c r="BX9" i="8"/>
  <c r="BW9" i="8"/>
  <c r="BV9" i="8"/>
  <c r="BT9" i="8"/>
  <c r="BS9" i="8"/>
  <c r="BR9" i="8"/>
  <c r="BQ9" i="8"/>
  <c r="BO9" i="8"/>
  <c r="BN9" i="8"/>
  <c r="BM9" i="8"/>
  <c r="BL9" i="8"/>
  <c r="BJ9" i="8"/>
  <c r="BI9" i="8"/>
  <c r="BH9" i="8"/>
  <c r="BG9" i="8"/>
  <c r="BE9" i="8"/>
  <c r="BD9" i="8"/>
  <c r="BC9" i="8"/>
  <c r="BB9" i="8"/>
  <c r="AZ9" i="8"/>
  <c r="AY9" i="8"/>
  <c r="AX9" i="8"/>
  <c r="AW9" i="8"/>
  <c r="AU9" i="8"/>
  <c r="AT9" i="8"/>
  <c r="AS9" i="8"/>
  <c r="AR9" i="8"/>
  <c r="AP9" i="8"/>
  <c r="AO9" i="8"/>
  <c r="AN9" i="8"/>
  <c r="AM9" i="8"/>
  <c r="AK9" i="8"/>
  <c r="AJ9" i="8"/>
  <c r="AI9" i="8"/>
  <c r="AH9" i="8"/>
  <c r="AF9" i="8"/>
  <c r="AE9" i="8"/>
  <c r="AD9" i="8"/>
  <c r="AC9" i="8"/>
  <c r="AA9" i="8"/>
  <c r="Z9" i="8"/>
  <c r="Y9" i="8"/>
  <c r="X9" i="8"/>
  <c r="V9" i="8"/>
  <c r="U9" i="8"/>
  <c r="T9" i="8"/>
  <c r="S9" i="8"/>
  <c r="H7" i="7"/>
  <c r="I8" i="9"/>
  <c r="I10" i="9"/>
  <c r="I9" i="9"/>
  <c r="E6" i="8" l="1"/>
  <c r="B162" i="4"/>
  <c r="B163" i="4" l="1"/>
  <c r="B164" i="4" s="1"/>
  <c r="U32" i="5"/>
  <c r="B159" i="4"/>
  <c r="I7" i="6"/>
  <c r="B158" i="4" s="1"/>
  <c r="Y21" i="4"/>
  <c r="V21" i="4"/>
  <c r="S21" i="4"/>
  <c r="P21" i="4"/>
  <c r="I9" i="8" l="1"/>
  <c r="J9" i="8"/>
  <c r="K9" i="8"/>
  <c r="L9" i="8"/>
  <c r="N9" i="8"/>
  <c r="O9" i="8"/>
  <c r="P9" i="8"/>
  <c r="Q9" i="8"/>
  <c r="EJ10" i="8"/>
  <c r="EK10" i="8"/>
  <c r="ER10" i="8"/>
  <c r="DA10" i="8"/>
  <c r="EP10" i="8" s="1"/>
  <c r="DB10" i="8"/>
  <c r="EQ10" i="8" s="1"/>
  <c r="G6" i="8" l="1"/>
  <c r="F11" i="7"/>
  <c r="M13" i="7"/>
  <c r="C15" i="7"/>
  <c r="C16" i="7"/>
  <c r="I16" i="7"/>
  <c r="C17" i="7"/>
  <c r="I17" i="7"/>
  <c r="C18" i="7"/>
  <c r="I18" i="7"/>
  <c r="C19" i="7"/>
  <c r="I19" i="7"/>
  <c r="C20" i="7"/>
  <c r="I20" i="7"/>
  <c r="C21" i="7"/>
  <c r="I21" i="7"/>
  <c r="C22" i="7"/>
  <c r="I22" i="7"/>
  <c r="C23" i="7"/>
  <c r="D23" i="7"/>
  <c r="E23" i="7"/>
  <c r="F23" i="7"/>
  <c r="I23" i="7"/>
  <c r="C24" i="7"/>
  <c r="D24" i="7"/>
  <c r="E24" i="7"/>
  <c r="F24" i="7"/>
  <c r="I24" i="7"/>
  <c r="C25" i="7"/>
  <c r="D25" i="7"/>
  <c r="E25" i="7"/>
  <c r="F25" i="7"/>
  <c r="I25" i="7"/>
  <c r="C26" i="7"/>
  <c r="D26" i="7"/>
  <c r="E26" i="7"/>
  <c r="F26" i="7"/>
  <c r="I26" i="7"/>
  <c r="C27" i="7"/>
  <c r="D27" i="7"/>
  <c r="E27" i="7"/>
  <c r="F27" i="7"/>
  <c r="I27" i="7"/>
  <c r="C28" i="7"/>
  <c r="D28" i="7"/>
  <c r="E28" i="7"/>
  <c r="F28" i="7"/>
  <c r="I28" i="7"/>
  <c r="C29" i="7"/>
  <c r="D29" i="7"/>
  <c r="E29" i="7"/>
  <c r="F29" i="7"/>
  <c r="I29" i="7"/>
  <c r="C30" i="7"/>
  <c r="D30" i="7"/>
  <c r="E30" i="7"/>
  <c r="F30" i="7"/>
  <c r="I30" i="7"/>
  <c r="C31" i="7"/>
  <c r="D31" i="7"/>
  <c r="E31" i="7"/>
  <c r="F31" i="7"/>
  <c r="I31" i="7"/>
  <c r="C32" i="7"/>
  <c r="D32" i="7"/>
  <c r="E32" i="7"/>
  <c r="F32" i="7"/>
  <c r="I32" i="7"/>
  <c r="C33" i="7"/>
  <c r="D33" i="7"/>
  <c r="E33" i="7"/>
  <c r="F33" i="7"/>
  <c r="I33" i="7"/>
  <c r="C34" i="7"/>
  <c r="D34" i="7"/>
  <c r="E34" i="7"/>
  <c r="F34" i="7"/>
  <c r="I34" i="7"/>
  <c r="C35" i="7"/>
  <c r="D35" i="7"/>
  <c r="E35" i="7"/>
  <c r="F35" i="7"/>
  <c r="I35" i="7"/>
  <c r="C36" i="7"/>
  <c r="D36" i="7"/>
  <c r="E36" i="7"/>
  <c r="F36" i="7"/>
  <c r="I36" i="7"/>
  <c r="C37" i="7"/>
  <c r="D37" i="7"/>
  <c r="E37" i="7"/>
  <c r="F37" i="7"/>
  <c r="I37" i="7"/>
  <c r="C38" i="7"/>
  <c r="D38" i="7"/>
  <c r="E38" i="7"/>
  <c r="F38" i="7"/>
  <c r="I38" i="7"/>
  <c r="C39" i="7"/>
  <c r="D39" i="7"/>
  <c r="E39" i="7"/>
  <c r="F39" i="7"/>
  <c r="I39" i="7"/>
  <c r="C40" i="7"/>
  <c r="D40" i="7"/>
  <c r="E40" i="7"/>
  <c r="F40" i="7"/>
  <c r="I40" i="7"/>
  <c r="C41" i="7"/>
  <c r="D41" i="7"/>
  <c r="E41" i="7"/>
  <c r="F41" i="7"/>
  <c r="I41" i="7"/>
  <c r="C42" i="7"/>
  <c r="D42" i="7"/>
  <c r="E42" i="7"/>
  <c r="F42" i="7"/>
  <c r="I42" i="7"/>
  <c r="C43" i="7"/>
  <c r="D43" i="7"/>
  <c r="E43" i="7"/>
  <c r="F43" i="7"/>
  <c r="I43" i="7"/>
  <c r="C44" i="7"/>
  <c r="D44" i="7"/>
  <c r="E44" i="7"/>
  <c r="F44" i="7"/>
  <c r="I44" i="7"/>
  <c r="C45" i="7"/>
  <c r="D45" i="7"/>
  <c r="E45" i="7"/>
  <c r="F45" i="7"/>
  <c r="I45" i="7"/>
  <c r="C46" i="7"/>
  <c r="D46" i="7"/>
  <c r="E46" i="7"/>
  <c r="F46" i="7"/>
  <c r="I46" i="7"/>
  <c r="C47" i="7"/>
  <c r="D47" i="7"/>
  <c r="E47" i="7"/>
  <c r="F47" i="7"/>
  <c r="I47" i="7"/>
  <c r="C48" i="7"/>
  <c r="D48" i="7"/>
  <c r="E48" i="7"/>
  <c r="F48" i="7"/>
  <c r="I48" i="7"/>
  <c r="C49" i="7"/>
  <c r="D49" i="7"/>
  <c r="E49" i="7"/>
  <c r="F49" i="7"/>
  <c r="I49" i="7"/>
  <c r="C50" i="7"/>
  <c r="D50" i="7"/>
  <c r="E50" i="7"/>
  <c r="F50" i="7"/>
  <c r="I50" i="7"/>
  <c r="C51" i="7"/>
  <c r="D51" i="7"/>
  <c r="E51" i="7"/>
  <c r="F51" i="7"/>
  <c r="I51" i="7"/>
  <c r="C52" i="7"/>
  <c r="D52" i="7"/>
  <c r="E52" i="7"/>
  <c r="F52" i="7"/>
  <c r="I52" i="7"/>
  <c r="C53" i="7"/>
  <c r="D53" i="7"/>
  <c r="E53" i="7"/>
  <c r="F53" i="7"/>
  <c r="I53" i="7"/>
  <c r="C54" i="7"/>
  <c r="D54" i="7"/>
  <c r="E54" i="7"/>
  <c r="F54" i="7"/>
  <c r="I54" i="7"/>
  <c r="C55" i="7"/>
  <c r="D55" i="7"/>
  <c r="E55" i="7"/>
  <c r="F55" i="7"/>
  <c r="I55" i="7"/>
  <c r="C56" i="7"/>
  <c r="D56" i="7"/>
  <c r="E56" i="7"/>
  <c r="F56" i="7"/>
  <c r="I56" i="7"/>
  <c r="C57" i="7"/>
  <c r="D57" i="7"/>
  <c r="E57" i="7"/>
  <c r="F57" i="7"/>
  <c r="I57" i="7"/>
  <c r="C58" i="7"/>
  <c r="D58" i="7"/>
  <c r="E58" i="7"/>
  <c r="F58" i="7"/>
  <c r="I58" i="7"/>
  <c r="C59" i="7"/>
  <c r="D59" i="7"/>
  <c r="E59" i="7"/>
  <c r="F59" i="7"/>
  <c r="I59" i="7"/>
  <c r="C60" i="7"/>
  <c r="D60" i="7"/>
  <c r="E60" i="7"/>
  <c r="F60" i="7"/>
  <c r="I60" i="7"/>
  <c r="C61" i="7"/>
  <c r="D61" i="7"/>
  <c r="E61" i="7"/>
  <c r="F61" i="7"/>
  <c r="I61" i="7"/>
  <c r="C62" i="7"/>
  <c r="D62" i="7"/>
  <c r="E62" i="7"/>
  <c r="F62" i="7"/>
  <c r="I62" i="7"/>
  <c r="C63" i="7"/>
  <c r="D63" i="7"/>
  <c r="E63" i="7"/>
  <c r="F63" i="7"/>
  <c r="I63" i="7"/>
  <c r="C64" i="7"/>
  <c r="D64" i="7"/>
  <c r="E64" i="7"/>
  <c r="F64" i="7"/>
  <c r="I64" i="7"/>
  <c r="I15" i="7"/>
  <c r="C12" i="7"/>
  <c r="W2" i="4" l="1"/>
  <c r="X2" i="4"/>
  <c r="Y2" i="4"/>
  <c r="Z2" i="4"/>
  <c r="V2" i="4"/>
  <c r="B131" i="4" l="1"/>
  <c r="K89" i="4"/>
  <c r="C89" i="4"/>
  <c r="L89" i="4" s="1"/>
  <c r="D89" i="4"/>
  <c r="M89" i="4" s="1"/>
  <c r="E89" i="4"/>
  <c r="N89" i="4" s="1"/>
  <c r="B56" i="4" l="1"/>
  <c r="C56" i="4"/>
  <c r="N56" i="4" s="1"/>
  <c r="D56" i="4"/>
  <c r="O56" i="4" s="1"/>
  <c r="E56" i="4"/>
  <c r="P56" i="4" s="1"/>
  <c r="F56" i="4"/>
  <c r="Q56" i="4" s="1"/>
  <c r="G56" i="4"/>
  <c r="B52" i="4"/>
  <c r="B123" i="4" s="1"/>
  <c r="B53" i="4"/>
  <c r="B124" i="4" s="1"/>
  <c r="C30" i="4" l="1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29" i="4"/>
  <c r="D28" i="4"/>
  <c r="E28" i="4"/>
  <c r="F28" i="4"/>
  <c r="C10" i="8" s="1"/>
  <c r="CY10" i="8" s="1"/>
  <c r="EN10" i="8" s="1"/>
  <c r="G28" i="4"/>
  <c r="D10" i="8" s="1"/>
  <c r="CZ10" i="8" s="1"/>
  <c r="EO10" i="8" s="1"/>
  <c r="H28" i="4"/>
  <c r="I28" i="4"/>
  <c r="C3" i="4"/>
  <c r="B10" i="8" l="1"/>
  <c r="CX10" i="8" s="1"/>
  <c r="P10" i="4"/>
  <c r="S10" i="4"/>
  <c r="V10" i="4"/>
  <c r="Y10" i="4"/>
  <c r="P11" i="4"/>
  <c r="S11" i="4"/>
  <c r="V11" i="4"/>
  <c r="Y11" i="4"/>
  <c r="P12" i="4"/>
  <c r="S12" i="4"/>
  <c r="V12" i="4"/>
  <c r="Y12" i="4"/>
  <c r="P13" i="4"/>
  <c r="S13" i="4"/>
  <c r="V13" i="4"/>
  <c r="Y13" i="4"/>
  <c r="P14" i="4"/>
  <c r="S14" i="4"/>
  <c r="V14" i="4"/>
  <c r="Y14" i="4"/>
  <c r="P15" i="4"/>
  <c r="S15" i="4"/>
  <c r="V15" i="4"/>
  <c r="Y15" i="4"/>
  <c r="P16" i="4"/>
  <c r="S16" i="4"/>
  <c r="V16" i="4"/>
  <c r="Y16" i="4"/>
  <c r="P17" i="4"/>
  <c r="S17" i="4"/>
  <c r="V17" i="4"/>
  <c r="Y17" i="4"/>
  <c r="P18" i="4"/>
  <c r="S18" i="4"/>
  <c r="V18" i="4"/>
  <c r="Y18" i="4"/>
  <c r="Y9" i="4"/>
  <c r="V9" i="4"/>
  <c r="P9" i="4"/>
  <c r="S9" i="4"/>
  <c r="D15" i="7"/>
  <c r="D16" i="7"/>
  <c r="D17" i="7"/>
  <c r="D18" i="7"/>
  <c r="D19" i="7"/>
  <c r="D20" i="7"/>
  <c r="D21" i="7"/>
  <c r="D22" i="7"/>
  <c r="C4" i="4"/>
  <c r="BV3" i="1"/>
  <c r="BN3" i="1"/>
  <c r="BF3" i="1"/>
  <c r="AX3" i="1"/>
  <c r="AP3" i="1"/>
  <c r="AH3" i="1"/>
  <c r="R3" i="1"/>
  <c r="Z3" i="1"/>
  <c r="J3" i="1"/>
  <c r="B3" i="1"/>
  <c r="E15" i="7"/>
  <c r="E16" i="7"/>
  <c r="E17" i="7"/>
  <c r="E18" i="7"/>
  <c r="E19" i="7"/>
  <c r="E20" i="7"/>
  <c r="E21" i="7"/>
  <c r="E22" i="7"/>
  <c r="G3" i="4" l="1"/>
  <c r="I7" i="9"/>
  <c r="C146" i="4"/>
  <c r="C145" i="4"/>
  <c r="M3" i="4"/>
  <c r="EM10" i="8"/>
  <c r="G16" i="7"/>
  <c r="G17" i="7"/>
  <c r="G18" i="7"/>
  <c r="G19" i="7"/>
  <c r="G20" i="7"/>
  <c r="G21" i="7"/>
  <c r="G22" i="7"/>
  <c r="G23" i="7"/>
  <c r="K23" i="7" s="1"/>
  <c r="L23" i="7" s="1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5" i="7"/>
  <c r="G56" i="7"/>
  <c r="K56" i="7" s="1"/>
  <c r="L56" i="7" s="1"/>
  <c r="G57" i="7"/>
  <c r="G59" i="7"/>
  <c r="G54" i="7"/>
  <c r="G58" i="7"/>
  <c r="G64" i="7"/>
  <c r="G61" i="7"/>
  <c r="G60" i="7"/>
  <c r="G63" i="7"/>
  <c r="G62" i="7"/>
  <c r="H16" i="7"/>
  <c r="H19" i="7"/>
  <c r="H21" i="7"/>
  <c r="H22" i="7"/>
  <c r="H25" i="7"/>
  <c r="H28" i="7"/>
  <c r="H30" i="7"/>
  <c r="H32" i="7"/>
  <c r="H34" i="7"/>
  <c r="H36" i="7"/>
  <c r="H38" i="7"/>
  <c r="H40" i="7"/>
  <c r="H42" i="7"/>
  <c r="H44" i="7"/>
  <c r="H17" i="7"/>
  <c r="H18" i="7"/>
  <c r="H20" i="7"/>
  <c r="H23" i="7"/>
  <c r="H24" i="7"/>
  <c r="H26" i="7"/>
  <c r="H27" i="7"/>
  <c r="H29" i="7"/>
  <c r="H31" i="7"/>
  <c r="H33" i="7"/>
  <c r="H35" i="7"/>
  <c r="H37" i="7"/>
  <c r="H39" i="7"/>
  <c r="H41" i="7"/>
  <c r="H43" i="7"/>
  <c r="H45" i="7"/>
  <c r="H47" i="7"/>
  <c r="H49" i="7"/>
  <c r="H51" i="7"/>
  <c r="H53" i="7"/>
  <c r="H55" i="7"/>
  <c r="H57" i="7"/>
  <c r="H59" i="7"/>
  <c r="H61" i="7"/>
  <c r="H63" i="7"/>
  <c r="H64" i="7"/>
  <c r="H46" i="7"/>
  <c r="H48" i="7"/>
  <c r="H50" i="7"/>
  <c r="H52" i="7"/>
  <c r="H54" i="7"/>
  <c r="H56" i="7"/>
  <c r="H58" i="7"/>
  <c r="H60" i="7"/>
  <c r="H62" i="7"/>
  <c r="H15" i="7"/>
  <c r="G15" i="7"/>
  <c r="T4" i="4"/>
  <c r="Q4" i="4"/>
  <c r="S4" i="4"/>
  <c r="R4" i="4"/>
  <c r="P4" i="4"/>
  <c r="P3" i="4"/>
  <c r="T3" i="4"/>
  <c r="S3" i="4"/>
  <c r="R3" i="4"/>
  <c r="Q3" i="4"/>
  <c r="J3" i="4"/>
  <c r="K3" i="4" s="1"/>
  <c r="F20" i="7"/>
  <c r="F16" i="7"/>
  <c r="F15" i="7"/>
  <c r="F21" i="7"/>
  <c r="F17" i="7"/>
  <c r="F19" i="7"/>
  <c r="F18" i="7"/>
  <c r="K20" i="7" l="1"/>
  <c r="L20" i="7" s="1"/>
  <c r="K19" i="7"/>
  <c r="L19" i="7" s="1"/>
  <c r="U4" i="4"/>
  <c r="I5" i="7"/>
  <c r="J5" i="7" s="1"/>
  <c r="I4" i="7"/>
  <c r="J4" i="7" s="1"/>
  <c r="U3" i="4"/>
  <c r="K61" i="7"/>
  <c r="L61" i="7" s="1"/>
  <c r="K53" i="7"/>
  <c r="L53" i="7" s="1"/>
  <c r="K49" i="7"/>
  <c r="L49" i="7" s="1"/>
  <c r="K45" i="7"/>
  <c r="L45" i="7" s="1"/>
  <c r="K41" i="7"/>
  <c r="L41" i="7" s="1"/>
  <c r="K37" i="7"/>
  <c r="L37" i="7" s="1"/>
  <c r="K33" i="7"/>
  <c r="L33" i="7" s="1"/>
  <c r="K29" i="7"/>
  <c r="L29" i="7" s="1"/>
  <c r="K17" i="7"/>
  <c r="L17" i="7" s="1"/>
  <c r="K15" i="7"/>
  <c r="L15" i="7" s="1"/>
  <c r="C147" i="4"/>
  <c r="C150" i="4"/>
  <c r="G4" i="4"/>
  <c r="K63" i="7"/>
  <c r="L63" i="7" s="1"/>
  <c r="K58" i="7"/>
  <c r="L58" i="7" s="1"/>
  <c r="K51" i="7"/>
  <c r="L51" i="7" s="1"/>
  <c r="K47" i="7"/>
  <c r="L47" i="7" s="1"/>
  <c r="K43" i="7"/>
  <c r="L43" i="7" s="1"/>
  <c r="K39" i="7"/>
  <c r="L39" i="7" s="1"/>
  <c r="K35" i="7"/>
  <c r="L35" i="7" s="1"/>
  <c r="K31" i="7"/>
  <c r="L31" i="7" s="1"/>
  <c r="K27" i="7"/>
  <c r="L27" i="7" s="1"/>
  <c r="K16" i="7"/>
  <c r="L16" i="7" s="1"/>
  <c r="K60" i="7"/>
  <c r="L60" i="7" s="1"/>
  <c r="K54" i="7"/>
  <c r="L54" i="7" s="1"/>
  <c r="K55" i="7"/>
  <c r="L55" i="7" s="1"/>
  <c r="K50" i="7"/>
  <c r="L50" i="7" s="1"/>
  <c r="K46" i="7"/>
  <c r="L46" i="7" s="1"/>
  <c r="K42" i="7"/>
  <c r="L42" i="7" s="1"/>
  <c r="K38" i="7"/>
  <c r="L38" i="7" s="1"/>
  <c r="K34" i="7"/>
  <c r="L34" i="7" s="1"/>
  <c r="K30" i="7"/>
  <c r="L30" i="7" s="1"/>
  <c r="K26" i="7"/>
  <c r="L26" i="7" s="1"/>
  <c r="K59" i="7"/>
  <c r="L59" i="7" s="1"/>
  <c r="K25" i="7"/>
  <c r="L25" i="7" s="1"/>
  <c r="K62" i="7"/>
  <c r="L62" i="7" s="1"/>
  <c r="K64" i="7"/>
  <c r="L64" i="7" s="1"/>
  <c r="K57" i="7"/>
  <c r="L57" i="7" s="1"/>
  <c r="K52" i="7"/>
  <c r="L52" i="7" s="1"/>
  <c r="K48" i="7"/>
  <c r="L48" i="7" s="1"/>
  <c r="K44" i="7"/>
  <c r="L44" i="7" s="1"/>
  <c r="K40" i="7"/>
  <c r="L40" i="7" s="1"/>
  <c r="K36" i="7"/>
  <c r="L36" i="7" s="1"/>
  <c r="K32" i="7"/>
  <c r="L32" i="7" s="1"/>
  <c r="K28" i="7"/>
  <c r="L28" i="7" s="1"/>
  <c r="K24" i="7"/>
  <c r="L24" i="7" s="1"/>
  <c r="K18" i="7"/>
  <c r="L18" i="7" s="1"/>
  <c r="K21" i="7"/>
  <c r="L21" i="7" s="1"/>
  <c r="F22" i="7"/>
  <c r="K22" i="7" s="1"/>
  <c r="L22" i="7" s="1"/>
  <c r="Y3" i="4"/>
  <c r="X4" i="4"/>
  <c r="Z3" i="4"/>
  <c r="Y4" i="4"/>
  <c r="W3" i="4"/>
  <c r="W4" i="4"/>
  <c r="X3" i="4"/>
  <c r="V4" i="4"/>
  <c r="Z4" i="4"/>
  <c r="V3" i="4"/>
  <c r="J4" i="4"/>
  <c r="K4" i="4" s="1"/>
  <c r="M25" i="7" l="1"/>
  <c r="M42" i="7"/>
  <c r="M28" i="7"/>
  <c r="M64" i="7"/>
  <c r="M31" i="7"/>
  <c r="M47" i="7"/>
  <c r="M60" i="7"/>
  <c r="D150" i="4"/>
  <c r="E150" i="4"/>
  <c r="C151" i="4"/>
  <c r="J5" i="4"/>
  <c r="M59" i="7"/>
  <c r="M22" i="7"/>
  <c r="M63" i="7"/>
  <c r="M44" i="7"/>
  <c r="M19" i="7"/>
  <c r="M53" i="7"/>
  <c r="M55" i="7"/>
  <c r="M46" i="7"/>
  <c r="M23" i="7"/>
  <c r="M39" i="7"/>
  <c r="M56" i="7"/>
  <c r="M37" i="7"/>
  <c r="M26" i="7"/>
  <c r="M54" i="7"/>
  <c r="M36" i="7"/>
  <c r="M52" i="7"/>
  <c r="M41" i="7"/>
  <c r="M38" i="7"/>
  <c r="M21" i="7"/>
  <c r="M27" i="7"/>
  <c r="M43" i="7"/>
  <c r="M58" i="7"/>
  <c r="M45" i="7"/>
  <c r="M34" i="7"/>
  <c r="M24" i="7"/>
  <c r="M40" i="7"/>
  <c r="M57" i="7"/>
  <c r="M49" i="7"/>
  <c r="M18" i="7"/>
  <c r="M35" i="7"/>
  <c r="M51" i="7"/>
  <c r="M29" i="7"/>
  <c r="M61" i="7"/>
  <c r="M50" i="7"/>
  <c r="M32" i="7"/>
  <c r="M48" i="7"/>
  <c r="M62" i="7"/>
  <c r="M33" i="7"/>
  <c r="M30" i="7"/>
  <c r="M15" i="7"/>
  <c r="M17" i="7"/>
  <c r="M20" i="7"/>
  <c r="M16" i="7"/>
  <c r="E151" i="4" l="1"/>
  <c r="D151" i="4"/>
  <c r="C152" i="4"/>
  <c r="O35" i="7"/>
  <c r="O62" i="7"/>
  <c r="O32" i="7"/>
  <c r="O52" i="7"/>
  <c r="O57" i="7"/>
  <c r="O47" i="7"/>
  <c r="O18" i="7"/>
  <c r="O27" i="7"/>
  <c r="O63" i="7"/>
  <c r="O44" i="7"/>
  <c r="O45" i="7"/>
  <c r="O34" i="7"/>
  <c r="O60" i="7"/>
  <c r="O48" i="7"/>
  <c r="O33" i="7"/>
  <c r="O50" i="7"/>
  <c r="O15" i="7"/>
  <c r="O25" i="7"/>
  <c r="O42" i="7"/>
  <c r="O59" i="7"/>
  <c r="O64" i="7"/>
  <c r="O30" i="7"/>
  <c r="O17" i="7"/>
  <c r="O51" i="7"/>
  <c r="O26" i="7"/>
  <c r="O43" i="7"/>
  <c r="O61" i="7"/>
  <c r="O31" i="7"/>
  <c r="O36" i="7"/>
  <c r="O49" i="7"/>
  <c r="O19" i="7"/>
  <c r="O28" i="7"/>
  <c r="O41" i="7"/>
  <c r="O58" i="7"/>
  <c r="O16" i="7"/>
  <c r="O29" i="7"/>
  <c r="O46" i="7"/>
  <c r="O20" i="7"/>
  <c r="O40" i="7"/>
  <c r="O53" i="7"/>
  <c r="O23" i="7"/>
  <c r="O38" i="7"/>
  <c r="O37" i="7"/>
  <c r="O56" i="7"/>
  <c r="O22" i="7"/>
  <c r="O39" i="7"/>
  <c r="O21" i="7"/>
  <c r="O55" i="7"/>
  <c r="O24" i="7"/>
  <c r="B18" i="4" s="1"/>
  <c r="O54" i="7"/>
  <c r="B16" i="4" l="1"/>
  <c r="E16" i="4" s="1"/>
  <c r="B17" i="4"/>
  <c r="E17" i="4" s="1"/>
  <c r="E18" i="4"/>
  <c r="F18" i="4"/>
  <c r="H18" i="4" s="1"/>
  <c r="J18" i="4"/>
  <c r="Q18" i="4" s="1"/>
  <c r="G18" i="4"/>
  <c r="C18" i="4"/>
  <c r="D18" i="4"/>
  <c r="I18" i="4" s="1"/>
  <c r="B14" i="4"/>
  <c r="D152" i="4"/>
  <c r="E152" i="4"/>
  <c r="C153" i="4"/>
  <c r="B11" i="4"/>
  <c r="B15" i="4"/>
  <c r="B13" i="4"/>
  <c r="B12" i="4"/>
  <c r="B9" i="4"/>
  <c r="B10" i="4"/>
  <c r="C22" i="4"/>
  <c r="C3" i="8" s="1"/>
  <c r="C16" i="4" l="1"/>
  <c r="AH16" i="4" s="1"/>
  <c r="J16" i="4"/>
  <c r="Q16" i="4" s="1"/>
  <c r="G16" i="4"/>
  <c r="D16" i="4"/>
  <c r="I16" i="4" s="1"/>
  <c r="F16" i="4"/>
  <c r="H16" i="4" s="1"/>
  <c r="D17" i="4"/>
  <c r="I17" i="4" s="1"/>
  <c r="F17" i="4"/>
  <c r="H17" i="4" s="1"/>
  <c r="G17" i="4"/>
  <c r="J17" i="4"/>
  <c r="Q17" i="4" s="1"/>
  <c r="C17" i="4"/>
  <c r="K17" i="4" s="1"/>
  <c r="L17" i="4" s="1"/>
  <c r="K18" i="4"/>
  <c r="L18" i="4" s="1"/>
  <c r="AH18" i="4"/>
  <c r="N18" i="4"/>
  <c r="Z18" i="4" s="1"/>
  <c r="M18" i="4"/>
  <c r="W18" i="4" s="1"/>
  <c r="AD18" i="4"/>
  <c r="E14" i="4"/>
  <c r="J14" i="4"/>
  <c r="Q14" i="4" s="1"/>
  <c r="C14" i="4"/>
  <c r="AH14" i="4" s="1"/>
  <c r="D14" i="4"/>
  <c r="I14" i="4" s="1"/>
  <c r="G14" i="4"/>
  <c r="F14" i="4"/>
  <c r="G11" i="4"/>
  <c r="C17" i="5" s="1"/>
  <c r="D17" i="5" s="1"/>
  <c r="F12" i="4"/>
  <c r="C13" i="4"/>
  <c r="C26" i="5" s="1"/>
  <c r="G10" i="4"/>
  <c r="C12" i="5" s="1"/>
  <c r="D12" i="5" s="1"/>
  <c r="D15" i="4"/>
  <c r="I15" i="4" s="1"/>
  <c r="C9" i="4"/>
  <c r="D153" i="4"/>
  <c r="E153" i="4"/>
  <c r="C154" i="4"/>
  <c r="C15" i="4"/>
  <c r="D11" i="4"/>
  <c r="I11" i="4" s="1"/>
  <c r="E17" i="5" s="1"/>
  <c r="F11" i="4"/>
  <c r="H11" i="4" s="1"/>
  <c r="F17" i="5" s="1"/>
  <c r="C11" i="4"/>
  <c r="D9" i="4"/>
  <c r="I9" i="4" s="1"/>
  <c r="E7" i="5" s="1"/>
  <c r="E13" i="4"/>
  <c r="E11" i="4"/>
  <c r="J11" i="4"/>
  <c r="Q11" i="4" s="1"/>
  <c r="F13" i="4"/>
  <c r="G13" i="4"/>
  <c r="C27" i="5" s="1"/>
  <c r="D27" i="5" s="1"/>
  <c r="E10" i="4"/>
  <c r="D13" i="4"/>
  <c r="I13" i="4" s="1"/>
  <c r="E27" i="5" s="1"/>
  <c r="J13" i="4"/>
  <c r="Q13" i="4" s="1"/>
  <c r="C10" i="4"/>
  <c r="J15" i="4"/>
  <c r="Q15" i="4" s="1"/>
  <c r="F15" i="4"/>
  <c r="H15" i="4" s="1"/>
  <c r="C12" i="4"/>
  <c r="G15" i="4"/>
  <c r="E15" i="4"/>
  <c r="E9" i="4"/>
  <c r="F10" i="4"/>
  <c r="F9" i="4"/>
  <c r="E12" i="4"/>
  <c r="D12" i="4"/>
  <c r="I12" i="4" s="1"/>
  <c r="E22" i="5" s="1"/>
  <c r="J9" i="4"/>
  <c r="Q9" i="4" s="1"/>
  <c r="J12" i="4"/>
  <c r="Q12" i="4" s="1"/>
  <c r="G9" i="4"/>
  <c r="C7" i="5" s="1"/>
  <c r="D7" i="5" s="1"/>
  <c r="G12" i="4"/>
  <c r="C22" i="5" s="1"/>
  <c r="D22" i="5" s="1"/>
  <c r="D10" i="4"/>
  <c r="I10" i="4" s="1"/>
  <c r="E12" i="5" s="1"/>
  <c r="J10" i="4"/>
  <c r="Q10" i="4" s="1"/>
  <c r="D30" i="4"/>
  <c r="B12" i="8" s="1"/>
  <c r="D39" i="4"/>
  <c r="B21" i="8" s="1"/>
  <c r="D47" i="4"/>
  <c r="D31" i="4"/>
  <c r="B13" i="8" s="1"/>
  <c r="D32" i="4"/>
  <c r="B14" i="8" s="1"/>
  <c r="F42" i="4"/>
  <c r="C24" i="8" s="1"/>
  <c r="F30" i="4"/>
  <c r="C12" i="8" s="1"/>
  <c r="F47" i="4"/>
  <c r="H34" i="4"/>
  <c r="G29" i="4"/>
  <c r="D11" i="8" s="1"/>
  <c r="F31" i="4"/>
  <c r="C13" i="8" s="1"/>
  <c r="G32" i="4"/>
  <c r="D14" i="8" s="1"/>
  <c r="H31" i="4"/>
  <c r="F37" i="4"/>
  <c r="C19" i="8" s="1"/>
  <c r="H37" i="4"/>
  <c r="F36" i="4"/>
  <c r="C18" i="8" s="1"/>
  <c r="G41" i="4"/>
  <c r="D23" i="8" s="1"/>
  <c r="H40" i="4"/>
  <c r="F41" i="4"/>
  <c r="C23" i="8" s="1"/>
  <c r="H29" i="4"/>
  <c r="D44" i="4"/>
  <c r="B26" i="8" s="1"/>
  <c r="D45" i="4"/>
  <c r="F38" i="4"/>
  <c r="C20" i="8" s="1"/>
  <c r="G31" i="4"/>
  <c r="D13" i="8" s="1"/>
  <c r="F39" i="4"/>
  <c r="C21" i="8" s="1"/>
  <c r="H39" i="4"/>
  <c r="G34" i="4"/>
  <c r="D16" i="8" s="1"/>
  <c r="G30" i="4"/>
  <c r="D12" i="8" s="1"/>
  <c r="H32" i="4"/>
  <c r="H33" i="4"/>
  <c r="C52" i="4"/>
  <c r="C123" i="4" s="1"/>
  <c r="D41" i="4"/>
  <c r="B23" i="8" s="1"/>
  <c r="D42" i="4"/>
  <c r="B24" i="8" s="1"/>
  <c r="F34" i="4"/>
  <c r="C16" i="8" s="1"/>
  <c r="H42" i="4"/>
  <c r="F35" i="4"/>
  <c r="C17" i="8" s="1"/>
  <c r="H35" i="4"/>
  <c r="H45" i="4"/>
  <c r="G45" i="4"/>
  <c r="F29" i="4"/>
  <c r="C11" i="8" s="1"/>
  <c r="C24" i="4"/>
  <c r="D40" i="4"/>
  <c r="B22" i="8" s="1"/>
  <c r="D46" i="4"/>
  <c r="D35" i="4"/>
  <c r="B17" i="8" s="1"/>
  <c r="D36" i="4"/>
  <c r="B18" i="8" s="1"/>
  <c r="D48" i="4"/>
  <c r="G43" i="4"/>
  <c r="D25" i="8" s="1"/>
  <c r="G39" i="4"/>
  <c r="D21" i="8" s="1"/>
  <c r="G48" i="4"/>
  <c r="H30" i="4"/>
  <c r="F43" i="4"/>
  <c r="C25" i="8" s="1"/>
  <c r="G44" i="4"/>
  <c r="D26" i="8" s="1"/>
  <c r="H43" i="4"/>
  <c r="G47" i="4"/>
  <c r="G42" i="4"/>
  <c r="D24" i="8" s="1"/>
  <c r="F48" i="4"/>
  <c r="F32" i="4"/>
  <c r="C14" i="8" s="1"/>
  <c r="G37" i="4"/>
  <c r="D19" i="8" s="1"/>
  <c r="H36" i="4"/>
  <c r="F33" i="4"/>
  <c r="C15" i="8" s="1"/>
  <c r="H41" i="4"/>
  <c r="D38" i="4"/>
  <c r="B20" i="8" s="1"/>
  <c r="D34" i="4"/>
  <c r="B16" i="8" s="1"/>
  <c r="D33" i="4"/>
  <c r="B15" i="8" s="1"/>
  <c r="D43" i="4"/>
  <c r="B25" i="8" s="1"/>
  <c r="G35" i="4"/>
  <c r="D17" i="8" s="1"/>
  <c r="H47" i="4"/>
  <c r="G40" i="4"/>
  <c r="D22" i="8" s="1"/>
  <c r="H48" i="4"/>
  <c r="F44" i="4"/>
  <c r="C26" i="8" s="1"/>
  <c r="G33" i="4"/>
  <c r="D15" i="8" s="1"/>
  <c r="G46" i="4"/>
  <c r="D37" i="4"/>
  <c r="B19" i="8" s="1"/>
  <c r="D29" i="4"/>
  <c r="B11" i="8" s="1"/>
  <c r="F46" i="4"/>
  <c r="H38" i="4"/>
  <c r="H46" i="4"/>
  <c r="G36" i="4"/>
  <c r="D18" i="8" s="1"/>
  <c r="F45" i="4"/>
  <c r="F40" i="4"/>
  <c r="C22" i="8" s="1"/>
  <c r="H44" i="4"/>
  <c r="G38" i="4"/>
  <c r="D20" i="8" s="1"/>
  <c r="I29" i="4"/>
  <c r="I48" i="4"/>
  <c r="I33" i="4"/>
  <c r="I43" i="4"/>
  <c r="I31" i="4"/>
  <c r="I39" i="4"/>
  <c r="I37" i="4"/>
  <c r="I30" i="4"/>
  <c r="E12" i="8" s="1"/>
  <c r="I41" i="4"/>
  <c r="I42" i="4"/>
  <c r="I35" i="4"/>
  <c r="E17" i="8" s="1"/>
  <c r="I46" i="4"/>
  <c r="I40" i="4"/>
  <c r="I47" i="4"/>
  <c r="I32" i="4"/>
  <c r="I36" i="4"/>
  <c r="I44" i="4"/>
  <c r="I38" i="4"/>
  <c r="E20" i="8" s="1"/>
  <c r="I45" i="4"/>
  <c r="I34" i="4"/>
  <c r="C21" i="5"/>
  <c r="AD16" i="4"/>
  <c r="H13" i="4" l="1"/>
  <c r="F27" i="5" s="1"/>
  <c r="H12" i="4"/>
  <c r="F22" i="5" s="1"/>
  <c r="E14" i="8"/>
  <c r="H14" i="4"/>
  <c r="H10" i="4"/>
  <c r="F12" i="5" s="1"/>
  <c r="K16" i="4"/>
  <c r="M16" i="4"/>
  <c r="W16" i="4" s="1"/>
  <c r="N16" i="4"/>
  <c r="Z16" i="4" s="1"/>
  <c r="E22" i="8"/>
  <c r="E19" i="8"/>
  <c r="E21" i="8"/>
  <c r="E15" i="8"/>
  <c r="E26" i="8"/>
  <c r="E23" i="8"/>
  <c r="E13" i="8"/>
  <c r="E24" i="8"/>
  <c r="E16" i="8"/>
  <c r="E18" i="8"/>
  <c r="E25" i="8"/>
  <c r="E11" i="8"/>
  <c r="AD17" i="4"/>
  <c r="AH17" i="4"/>
  <c r="M17" i="4"/>
  <c r="W17" i="4" s="1"/>
  <c r="N17" i="4"/>
  <c r="Z17" i="4" s="1"/>
  <c r="T18" i="4"/>
  <c r="T17" i="4"/>
  <c r="C4" i="8"/>
  <c r="N14" i="4"/>
  <c r="Z14" i="4" s="1"/>
  <c r="K14" i="4"/>
  <c r="M14" i="4"/>
  <c r="W14" i="4" s="1"/>
  <c r="AD14" i="4"/>
  <c r="K10" i="4"/>
  <c r="AH10" i="4"/>
  <c r="N13" i="4"/>
  <c r="Z13" i="4" s="1"/>
  <c r="AH13" i="4"/>
  <c r="N12" i="4"/>
  <c r="Z12" i="4" s="1"/>
  <c r="AH12" i="4"/>
  <c r="K15" i="4"/>
  <c r="AH15" i="4"/>
  <c r="C16" i="5"/>
  <c r="AH11" i="4"/>
  <c r="N9" i="4"/>
  <c r="Z9" i="4" s="1"/>
  <c r="AH9" i="4"/>
  <c r="AG2" i="4"/>
  <c r="AH2" i="4" s="1"/>
  <c r="H9" i="4"/>
  <c r="F7" i="5" s="1"/>
  <c r="AE3" i="4"/>
  <c r="AE4" i="4" s="1"/>
  <c r="AE5" i="4" s="1"/>
  <c r="C23" i="4"/>
  <c r="AD15" i="4"/>
  <c r="M13" i="4"/>
  <c r="W13" i="4" s="1"/>
  <c r="K13" i="4"/>
  <c r="K9" i="4"/>
  <c r="C6" i="5"/>
  <c r="M9" i="4"/>
  <c r="W9" i="4" s="1"/>
  <c r="D154" i="4"/>
  <c r="E154" i="4"/>
  <c r="C155" i="4"/>
  <c r="CZ15" i="8"/>
  <c r="EO15" i="8" s="1"/>
  <c r="CX16" i="8"/>
  <c r="EM16" i="8" s="1"/>
  <c r="CZ24" i="8"/>
  <c r="EO24" i="8" s="1"/>
  <c r="CY25" i="8"/>
  <c r="EN25" i="8" s="1"/>
  <c r="CZ25" i="8"/>
  <c r="EO25" i="8" s="1"/>
  <c r="CZ16" i="8"/>
  <c r="EO16" i="8" s="1"/>
  <c r="CY20" i="8"/>
  <c r="EN20" i="8" s="1"/>
  <c r="CY23" i="8"/>
  <c r="EN23" i="8" s="1"/>
  <c r="CY13" i="8"/>
  <c r="EN13" i="8" s="1"/>
  <c r="CY12" i="8"/>
  <c r="EN12" i="8" s="1"/>
  <c r="DA12" i="8"/>
  <c r="EP12" i="8" s="1"/>
  <c r="CZ20" i="8"/>
  <c r="EO20" i="8" s="1"/>
  <c r="CZ18" i="8"/>
  <c r="EO18" i="8" s="1"/>
  <c r="CX11" i="8"/>
  <c r="EM11" i="8" s="1"/>
  <c r="CY26" i="8"/>
  <c r="EN26" i="8" s="1"/>
  <c r="CZ17" i="8"/>
  <c r="EO17" i="8" s="1"/>
  <c r="CX20" i="8"/>
  <c r="EM20" i="8" s="1"/>
  <c r="CZ19" i="8"/>
  <c r="EO19" i="8" s="1"/>
  <c r="CX22" i="8"/>
  <c r="EM22" i="8" s="1"/>
  <c r="CY16" i="8"/>
  <c r="EN16" i="8" s="1"/>
  <c r="CY19" i="8"/>
  <c r="EN19" i="8" s="1"/>
  <c r="CZ11" i="8"/>
  <c r="EO11" i="8" s="1"/>
  <c r="CY24" i="8"/>
  <c r="EN24" i="8" s="1"/>
  <c r="CX21" i="8"/>
  <c r="EM21" i="8" s="1"/>
  <c r="DA14" i="8"/>
  <c r="EP14" i="8" s="1"/>
  <c r="DA17" i="8"/>
  <c r="EP17" i="8" s="1"/>
  <c r="CX19" i="8"/>
  <c r="EM19" i="8" s="1"/>
  <c r="CX25" i="8"/>
  <c r="EM25" i="8" s="1"/>
  <c r="CY14" i="8"/>
  <c r="EN14" i="8" s="1"/>
  <c r="CX18" i="8"/>
  <c r="EM18" i="8" s="1"/>
  <c r="CX24" i="8"/>
  <c r="EM24" i="8" s="1"/>
  <c r="CY21" i="8"/>
  <c r="EN21" i="8" s="1"/>
  <c r="CX26" i="8"/>
  <c r="EM26" i="8" s="1"/>
  <c r="CZ23" i="8"/>
  <c r="EO23" i="8" s="1"/>
  <c r="CX14" i="8"/>
  <c r="EM14" i="8" s="1"/>
  <c r="CX12" i="8"/>
  <c r="EM12" i="8" s="1"/>
  <c r="DA20" i="8"/>
  <c r="EP20" i="8" s="1"/>
  <c r="CY22" i="8"/>
  <c r="EN22" i="8" s="1"/>
  <c r="CZ22" i="8"/>
  <c r="EO22" i="8" s="1"/>
  <c r="CX15" i="8"/>
  <c r="EM15" i="8" s="1"/>
  <c r="CY15" i="8"/>
  <c r="EN15" i="8" s="1"/>
  <c r="CZ26" i="8"/>
  <c r="EO26" i="8" s="1"/>
  <c r="CZ21" i="8"/>
  <c r="EO21" i="8" s="1"/>
  <c r="CX17" i="8"/>
  <c r="EM17" i="8" s="1"/>
  <c r="CY11" i="8"/>
  <c r="EN11" i="8" s="1"/>
  <c r="CY17" i="8"/>
  <c r="EN17" i="8" s="1"/>
  <c r="CX23" i="8"/>
  <c r="EM23" i="8" s="1"/>
  <c r="CZ12" i="8"/>
  <c r="EO12" i="8" s="1"/>
  <c r="CZ13" i="8"/>
  <c r="EO13" i="8" s="1"/>
  <c r="CY18" i="8"/>
  <c r="EN18" i="8" s="1"/>
  <c r="CZ14" i="8"/>
  <c r="EO14" i="8" s="1"/>
  <c r="CX13" i="8"/>
  <c r="EM13" i="8" s="1"/>
  <c r="AD11" i="4"/>
  <c r="K11" i="4"/>
  <c r="M11" i="4"/>
  <c r="W11" i="4" s="1"/>
  <c r="M15" i="4"/>
  <c r="W15" i="4" s="1"/>
  <c r="N15" i="4"/>
  <c r="Z15" i="4" s="1"/>
  <c r="AD9" i="4"/>
  <c r="N11" i="4"/>
  <c r="Z11" i="4" s="1"/>
  <c r="AD10" i="4"/>
  <c r="M10" i="4"/>
  <c r="W10" i="4" s="1"/>
  <c r="C11" i="5"/>
  <c r="AD13" i="4"/>
  <c r="N10" i="4"/>
  <c r="Z10" i="4" s="1"/>
  <c r="K12" i="4"/>
  <c r="M12" i="4"/>
  <c r="W12" i="4" s="1"/>
  <c r="AD12" i="4"/>
  <c r="C135" i="4"/>
  <c r="C136" i="4"/>
  <c r="C137" i="4"/>
  <c r="C134" i="4"/>
  <c r="C126" i="4"/>
  <c r="C127" i="4"/>
  <c r="C128" i="4" s="1"/>
  <c r="C140" i="4"/>
  <c r="C129" i="4"/>
  <c r="L13" i="4"/>
  <c r="L14" i="4"/>
  <c r="L11" i="4"/>
  <c r="L15" i="4"/>
  <c r="L9" i="4"/>
  <c r="L10" i="4"/>
  <c r="L16" i="4"/>
  <c r="L12" i="4"/>
  <c r="T16" i="4" l="1"/>
  <c r="K23" i="4"/>
  <c r="C2" i="8"/>
  <c r="T14" i="4"/>
  <c r="T15" i="4"/>
  <c r="T10" i="4"/>
  <c r="AG5" i="4"/>
  <c r="AH5" i="4" s="1"/>
  <c r="C53" i="4"/>
  <c r="B59" i="4" s="1" a="1"/>
  <c r="B59" i="4" s="1"/>
  <c r="T13" i="4"/>
  <c r="T9" i="4"/>
  <c r="D155" i="4"/>
  <c r="E155" i="4"/>
  <c r="DA16" i="8"/>
  <c r="EP16" i="8" s="1"/>
  <c r="DA22" i="8"/>
  <c r="EP22" i="8" s="1"/>
  <c r="DA25" i="8"/>
  <c r="EP25" i="8" s="1"/>
  <c r="DA21" i="8"/>
  <c r="EP21" i="8" s="1"/>
  <c r="DA11" i="8"/>
  <c r="EP11" i="8" s="1"/>
  <c r="DA26" i="8"/>
  <c r="EP26" i="8" s="1"/>
  <c r="DA15" i="8"/>
  <c r="EP15" i="8" s="1"/>
  <c r="DA13" i="8"/>
  <c r="EP13" i="8" s="1"/>
  <c r="DA24" i="8"/>
  <c r="EP24" i="8" s="1"/>
  <c r="DA18" i="8"/>
  <c r="EP18" i="8" s="1"/>
  <c r="DA19" i="8"/>
  <c r="EP19" i="8" s="1"/>
  <c r="DA23" i="8"/>
  <c r="EP23" i="8" s="1"/>
  <c r="T11" i="4"/>
  <c r="T12" i="4"/>
  <c r="C131" i="4"/>
  <c r="B100" i="4" a="1"/>
  <c r="B100" i="4" l="1"/>
  <c r="B93" i="4" a="1"/>
  <c r="B93" i="4" s="1"/>
  <c r="D93" i="4" s="1"/>
  <c r="B64" i="4" a="1"/>
  <c r="B64" i="4" s="1"/>
  <c r="F64" i="4" s="1"/>
  <c r="B68" i="4" a="1"/>
  <c r="B68" i="4" s="1"/>
  <c r="C68" i="4" s="1"/>
  <c r="B71" i="4" a="1"/>
  <c r="B71" i="4" s="1"/>
  <c r="E71" i="4" s="1"/>
  <c r="B109" i="4" a="1"/>
  <c r="B109" i="4" s="1"/>
  <c r="D109" i="4" s="1"/>
  <c r="B74" i="4" a="1"/>
  <c r="B74" i="4" s="1"/>
  <c r="D74" i="4" s="1"/>
  <c r="B105" i="4" a="1"/>
  <c r="B105" i="4" s="1"/>
  <c r="C105" i="4" s="1"/>
  <c r="B72" i="4" a="1"/>
  <c r="B72" i="4" s="1"/>
  <c r="G72" i="4" s="1"/>
  <c r="B67" i="4" a="1"/>
  <c r="B67" i="4" s="1"/>
  <c r="F67" i="4" s="1"/>
  <c r="B70" i="4" a="1"/>
  <c r="B70" i="4" s="1"/>
  <c r="E70" i="4" s="1"/>
  <c r="B61" i="4" a="1"/>
  <c r="B61" i="4" s="1"/>
  <c r="E61" i="4" s="1"/>
  <c r="B65" i="4" a="1"/>
  <c r="B65" i="4" s="1"/>
  <c r="F65" i="4" s="1"/>
  <c r="B103" i="4" a="1"/>
  <c r="B103" i="4" s="1"/>
  <c r="C103" i="4" s="1"/>
  <c r="B101" i="4" a="1"/>
  <c r="B101" i="4" s="1"/>
  <c r="C101" i="4" s="1"/>
  <c r="B63" i="4" a="1"/>
  <c r="B63" i="4" s="1"/>
  <c r="D63" i="4" s="1"/>
  <c r="C124" i="4"/>
  <c r="B99" i="4" a="1"/>
  <c r="B99" i="4" s="1"/>
  <c r="D99" i="4" s="1"/>
  <c r="B94" i="4" a="1"/>
  <c r="B94" i="4" s="1"/>
  <c r="E94" i="4" s="1"/>
  <c r="G94" i="4" s="1"/>
  <c r="B60" i="4" a="1"/>
  <c r="B60" i="4" s="1"/>
  <c r="G60" i="4" s="1"/>
  <c r="B107" i="4" a="1"/>
  <c r="B107" i="4" s="1"/>
  <c r="E107" i="4" s="1"/>
  <c r="G107" i="4" s="1"/>
  <c r="B66" i="4" a="1"/>
  <c r="B66" i="4" s="1"/>
  <c r="E66" i="4" s="1"/>
  <c r="B90" i="4" a="1"/>
  <c r="B90" i="4" s="1"/>
  <c r="C90" i="4" s="1"/>
  <c r="B92" i="4" a="1"/>
  <c r="B92" i="4" s="1"/>
  <c r="E92" i="4" s="1"/>
  <c r="G92" i="4" s="1"/>
  <c r="B106" i="4" a="1"/>
  <c r="B106" i="4" s="1"/>
  <c r="D106" i="4" s="1"/>
  <c r="B58" i="4" a="1"/>
  <c r="B58" i="4" s="1"/>
  <c r="D58" i="4" s="1"/>
  <c r="B57" i="4" a="1"/>
  <c r="B57" i="4" s="1"/>
  <c r="D57" i="4" s="1"/>
  <c r="B102" i="4" a="1"/>
  <c r="B102" i="4" s="1"/>
  <c r="E102" i="4" s="1"/>
  <c r="G102" i="4" s="1"/>
  <c r="B104" i="4" a="1"/>
  <c r="B104" i="4" s="1"/>
  <c r="E104" i="4" s="1"/>
  <c r="G104" i="4" s="1"/>
  <c r="B98" i="4" a="1"/>
  <c r="B98" i="4" s="1"/>
  <c r="C98" i="4" s="1"/>
  <c r="B75" i="4" a="1"/>
  <c r="B75" i="4" s="1"/>
  <c r="G75" i="4" s="1"/>
  <c r="B95" i="4" a="1"/>
  <c r="B95" i="4" s="1"/>
  <c r="C95" i="4" s="1"/>
  <c r="B76" i="4" a="1"/>
  <c r="B76" i="4" s="1"/>
  <c r="C76" i="4" s="1"/>
  <c r="B97" i="4" a="1"/>
  <c r="B97" i="4" s="1"/>
  <c r="C97" i="4" s="1"/>
  <c r="B62" i="4" a="1"/>
  <c r="B62" i="4" s="1"/>
  <c r="C62" i="4" s="1"/>
  <c r="B108" i="4" a="1"/>
  <c r="B108" i="4" s="1"/>
  <c r="C108" i="4" s="1"/>
  <c r="B91" i="4" a="1"/>
  <c r="B91" i="4" s="1"/>
  <c r="D91" i="4" s="1"/>
  <c r="B73" i="4" a="1"/>
  <c r="B73" i="4" s="1"/>
  <c r="E73" i="4" s="1"/>
  <c r="B96" i="4" a="1"/>
  <c r="B96" i="4" s="1"/>
  <c r="E96" i="4" s="1"/>
  <c r="G96" i="4" s="1"/>
  <c r="B69" i="4" a="1"/>
  <c r="B69" i="4" s="1"/>
  <c r="F69" i="4" s="1"/>
  <c r="E59" i="4"/>
  <c r="F59" i="4"/>
  <c r="G59" i="4"/>
  <c r="D59" i="4"/>
  <c r="C59" i="4"/>
  <c r="D100" i="4"/>
  <c r="E100" i="4"/>
  <c r="G100" i="4" s="1"/>
  <c r="C100" i="4"/>
  <c r="C93" i="4" l="1"/>
  <c r="E103" i="4"/>
  <c r="G103" i="4" s="1"/>
  <c r="E109" i="4"/>
  <c r="G109" i="4" s="1"/>
  <c r="E67" i="4"/>
  <c r="C67" i="4"/>
  <c r="E93" i="4"/>
  <c r="G93" i="4" s="1"/>
  <c r="D64" i="4"/>
  <c r="D101" i="4"/>
  <c r="C106" i="4"/>
  <c r="D67" i="4"/>
  <c r="C109" i="4"/>
  <c r="E64" i="4"/>
  <c r="C65" i="4"/>
  <c r="C64" i="4"/>
  <c r="C74" i="4"/>
  <c r="D105" i="4"/>
  <c r="C72" i="4"/>
  <c r="G71" i="4"/>
  <c r="G65" i="4"/>
  <c r="D68" i="4"/>
  <c r="G61" i="4"/>
  <c r="F61" i="4"/>
  <c r="F70" i="4"/>
  <c r="G64" i="4"/>
  <c r="G68" i="4"/>
  <c r="G70" i="4"/>
  <c r="C60" i="4"/>
  <c r="F63" i="4"/>
  <c r="E65" i="4"/>
  <c r="C71" i="4"/>
  <c r="E72" i="4"/>
  <c r="D72" i="4"/>
  <c r="E76" i="4"/>
  <c r="C107" i="4"/>
  <c r="D65" i="4"/>
  <c r="D71" i="4"/>
  <c r="E105" i="4"/>
  <c r="G105" i="4" s="1"/>
  <c r="F68" i="4"/>
  <c r="E68" i="4"/>
  <c r="F72" i="4"/>
  <c r="D61" i="4"/>
  <c r="C61" i="4"/>
  <c r="C102" i="4"/>
  <c r="F71" i="4"/>
  <c r="G63" i="4"/>
  <c r="E106" i="4"/>
  <c r="G106" i="4" s="1"/>
  <c r="C70" i="4"/>
  <c r="F74" i="4"/>
  <c r="E101" i="4"/>
  <c r="G101" i="4" s="1"/>
  <c r="D70" i="4"/>
  <c r="E74" i="4"/>
  <c r="D103" i="4"/>
  <c r="G67" i="4"/>
  <c r="G74" i="4"/>
  <c r="C104" i="4"/>
  <c r="E91" i="4"/>
  <c r="G91" i="4" s="1"/>
  <c r="D107" i="4"/>
  <c r="D104" i="4"/>
  <c r="G76" i="4"/>
  <c r="C91" i="4"/>
  <c r="E99" i="4"/>
  <c r="G99" i="4" s="1"/>
  <c r="D76" i="4"/>
  <c r="C94" i="4"/>
  <c r="C99" i="4"/>
  <c r="E60" i="4"/>
  <c r="D94" i="4"/>
  <c r="D60" i="4"/>
  <c r="E63" i="4"/>
  <c r="F60" i="4"/>
  <c r="C63" i="4"/>
  <c r="F66" i="4"/>
  <c r="E97" i="4"/>
  <c r="G97" i="4" s="1"/>
  <c r="C66" i="4"/>
  <c r="C73" i="4"/>
  <c r="D66" i="4"/>
  <c r="E58" i="4"/>
  <c r="D73" i="4"/>
  <c r="E57" i="4"/>
  <c r="G66" i="4"/>
  <c r="D97" i="4"/>
  <c r="F58" i="4"/>
  <c r="G62" i="4"/>
  <c r="F73" i="4"/>
  <c r="E98" i="4"/>
  <c r="G98" i="4" s="1"/>
  <c r="C58" i="4"/>
  <c r="E108" i="4"/>
  <c r="G108" i="4" s="1"/>
  <c r="F75" i="4"/>
  <c r="E69" i="4"/>
  <c r="D75" i="4"/>
  <c r="D108" i="4"/>
  <c r="E95" i="4"/>
  <c r="G95" i="4" s="1"/>
  <c r="D69" i="4"/>
  <c r="G69" i="4"/>
  <c r="F76" i="4"/>
  <c r="D102" i="4"/>
  <c r="C92" i="4"/>
  <c r="G87" i="4"/>
  <c r="H107" i="4" s="1" a="1"/>
  <c r="H107" i="4" s="1"/>
  <c r="C69" i="4"/>
  <c r="D95" i="4"/>
  <c r="D92" i="4"/>
  <c r="C96" i="4"/>
  <c r="D90" i="4"/>
  <c r="E75" i="4"/>
  <c r="D96" i="4"/>
  <c r="G73" i="4"/>
  <c r="E90" i="4"/>
  <c r="G90" i="4" s="1"/>
  <c r="D62" i="4"/>
  <c r="C75" i="4"/>
  <c r="D98" i="4"/>
  <c r="G57" i="4"/>
  <c r="I53" i="4"/>
  <c r="G58" i="4"/>
  <c r="F62" i="4"/>
  <c r="C57" i="4"/>
  <c r="E62" i="4"/>
  <c r="F57" i="4"/>
  <c r="F52" i="4" l="1"/>
  <c r="H92" i="4" a="1"/>
  <c r="H92" i="4" s="1"/>
  <c r="H109" i="4" a="1"/>
  <c r="H109" i="4" s="1"/>
  <c r="H105" i="4" a="1"/>
  <c r="H105" i="4" s="1"/>
  <c r="H97" i="4" a="1"/>
  <c r="H97" i="4" s="1"/>
  <c r="F53" i="4"/>
  <c r="H100" i="4" a="1"/>
  <c r="H100" i="4" s="1"/>
  <c r="H99" i="4" a="1"/>
  <c r="H99" i="4" s="1"/>
  <c r="H106" i="4" a="1"/>
  <c r="H106" i="4" s="1"/>
  <c r="H91" i="4" a="1"/>
  <c r="H91" i="4" s="1"/>
  <c r="H101" i="4" a="1"/>
  <c r="H101" i="4" s="1"/>
  <c r="H96" i="4" a="1"/>
  <c r="H96" i="4" s="1"/>
  <c r="H95" i="4" a="1"/>
  <c r="H95" i="4" s="1"/>
  <c r="H93" i="4" a="1"/>
  <c r="H93" i="4" s="1"/>
  <c r="H94" i="4" a="1"/>
  <c r="H94" i="4" s="1"/>
  <c r="H104" i="4" a="1"/>
  <c r="H104" i="4" s="1"/>
  <c r="H102" i="4" a="1"/>
  <c r="H102" i="4" s="1"/>
  <c r="H90" i="4" a="1"/>
  <c r="H90" i="4" s="1"/>
  <c r="H98" i="4" a="1"/>
  <c r="H98" i="4" s="1"/>
  <c r="H108" i="4" a="1"/>
  <c r="H108" i="4" s="1"/>
  <c r="H103" i="4" a="1"/>
  <c r="H103" i="4" s="1"/>
  <c r="I76" i="4" l="1"/>
  <c r="J76" i="4" s="1"/>
  <c r="I68" i="4"/>
  <c r="J68" i="4" s="1"/>
  <c r="I62" i="4"/>
  <c r="I59" i="4"/>
  <c r="I70" i="4"/>
  <c r="J70" i="4" s="1"/>
  <c r="I71" i="4"/>
  <c r="J71" i="4" s="1"/>
  <c r="I57" i="4"/>
  <c r="I72" i="4"/>
  <c r="J72" i="4" s="1"/>
  <c r="I58" i="4"/>
  <c r="I63" i="4"/>
  <c r="I67" i="4"/>
  <c r="J67" i="4" s="1"/>
  <c r="I61" i="4"/>
  <c r="K94" i="4"/>
  <c r="M94" i="4" s="1"/>
  <c r="K103" i="4"/>
  <c r="L103" i="4" s="1"/>
  <c r="K101" i="4"/>
  <c r="L101" i="4" s="1"/>
  <c r="I73" i="4"/>
  <c r="J73" i="4" s="1"/>
  <c r="I75" i="4"/>
  <c r="J75" i="4" s="1"/>
  <c r="I65" i="4"/>
  <c r="I74" i="4"/>
  <c r="J74" i="4" s="1"/>
  <c r="I69" i="4"/>
  <c r="J69" i="4" s="1"/>
  <c r="K109" i="4"/>
  <c r="M109" i="4" s="1"/>
  <c r="K105" i="4"/>
  <c r="M105" i="4" s="1"/>
  <c r="K107" i="4"/>
  <c r="N107" i="4" s="1"/>
  <c r="K92" i="4"/>
  <c r="N92" i="4" s="1"/>
  <c r="C115" i="4" s="1"/>
  <c r="K108" i="4"/>
  <c r="M108" i="4" s="1"/>
  <c r="K100" i="4"/>
  <c r="N100" i="4" s="1"/>
  <c r="I66" i="4"/>
  <c r="I64" i="4"/>
  <c r="I60" i="4"/>
  <c r="K97" i="4"/>
  <c r="L97" i="4" s="1"/>
  <c r="K90" i="4"/>
  <c r="M90" i="4" s="1"/>
  <c r="K91" i="4"/>
  <c r="M91" i="4" s="1"/>
  <c r="K102" i="4"/>
  <c r="L102" i="4" s="1"/>
  <c r="K93" i="4"/>
  <c r="N93" i="4" s="1"/>
  <c r="C116" i="4" s="1"/>
  <c r="K106" i="4"/>
  <c r="M106" i="4" s="1"/>
  <c r="K104" i="4"/>
  <c r="L104" i="4" s="1"/>
  <c r="K99" i="4"/>
  <c r="N99" i="4" s="1"/>
  <c r="K95" i="4"/>
  <c r="N95" i="4" s="1"/>
  <c r="K96" i="4"/>
  <c r="N96" i="4" s="1"/>
  <c r="K98" i="4"/>
  <c r="L98" i="4" s="1"/>
  <c r="N109" i="4"/>
  <c r="J66" i="4" l="1"/>
  <c r="J64" i="4"/>
  <c r="N94" i="4"/>
  <c r="C117" i="4" s="1"/>
  <c r="L94" i="4"/>
  <c r="B117" i="4" s="1"/>
  <c r="J62" i="4"/>
  <c r="M103" i="4"/>
  <c r="M97" i="4"/>
  <c r="M101" i="4"/>
  <c r="L90" i="4"/>
  <c r="B113" i="4" s="1"/>
  <c r="J65" i="4"/>
  <c r="J63" i="4"/>
  <c r="L91" i="4"/>
  <c r="B114" i="4" s="1"/>
  <c r="J61" i="4"/>
  <c r="N101" i="4"/>
  <c r="N103" i="4"/>
  <c r="L105" i="4"/>
  <c r="M100" i="4"/>
  <c r="N105" i="4"/>
  <c r="L108" i="4"/>
  <c r="N91" i="4"/>
  <c r="C114" i="4" s="1"/>
  <c r="L93" i="4"/>
  <c r="B116" i="4" s="1"/>
  <c r="N97" i="4"/>
  <c r="J60" i="4"/>
  <c r="J57" i="4"/>
  <c r="J58" i="4"/>
  <c r="J59" i="4"/>
  <c r="N102" i="4"/>
  <c r="L109" i="4"/>
  <c r="L92" i="4"/>
  <c r="B115" i="4" s="1"/>
  <c r="L107" i="4"/>
  <c r="M98" i="4"/>
  <c r="M93" i="4"/>
  <c r="N90" i="4"/>
  <c r="C113" i="4" s="1"/>
  <c r="L96" i="4"/>
  <c r="L100" i="4"/>
  <c r="M96" i="4"/>
  <c r="M107" i="4"/>
  <c r="M104" i="4"/>
  <c r="M92" i="4"/>
  <c r="M95" i="4"/>
  <c r="N104" i="4"/>
  <c r="N106" i="4"/>
  <c r="M99" i="4"/>
  <c r="N108" i="4"/>
  <c r="N98" i="4"/>
  <c r="L99" i="4"/>
  <c r="M102" i="4"/>
  <c r="L106" i="4"/>
  <c r="L95" i="4"/>
  <c r="B119" i="4" l="1"/>
  <c r="M59" i="4"/>
  <c r="P59" i="4" s="1"/>
  <c r="M58" i="4"/>
  <c r="P58" i="4" s="1"/>
  <c r="M67" i="4"/>
  <c r="Q67" i="4" s="1"/>
  <c r="M57" i="4"/>
  <c r="Q57" i="4" s="1"/>
  <c r="B79" i="4" s="1"/>
  <c r="M70" i="4"/>
  <c r="P70" i="4" s="1"/>
  <c r="M66" i="4"/>
  <c r="O66" i="4" s="1"/>
  <c r="M74" i="4"/>
  <c r="O74" i="4" s="1"/>
  <c r="M63" i="4"/>
  <c r="O63" i="4" s="1"/>
  <c r="M64" i="4"/>
  <c r="Q64" i="4" s="1"/>
  <c r="M60" i="4"/>
  <c r="N60" i="4" s="1"/>
  <c r="C82" i="4" s="1"/>
  <c r="M61" i="4"/>
  <c r="Q61" i="4" s="1"/>
  <c r="B83" i="4" s="1"/>
  <c r="M72" i="4"/>
  <c r="Q72" i="4" s="1"/>
  <c r="M68" i="4"/>
  <c r="P68" i="4" s="1"/>
  <c r="C119" i="4"/>
  <c r="M65" i="4"/>
  <c r="P65" i="4" s="1"/>
  <c r="M62" i="4"/>
  <c r="O62" i="4" s="1"/>
  <c r="M76" i="4"/>
  <c r="N76" i="4" s="1"/>
  <c r="M69" i="4"/>
  <c r="O69" i="4" s="1"/>
  <c r="M73" i="4"/>
  <c r="N73" i="4" s="1"/>
  <c r="M71" i="4"/>
  <c r="P71" i="4" s="1"/>
  <c r="M75" i="4"/>
  <c r="O75" i="4" s="1"/>
  <c r="O60" i="4"/>
  <c r="N59" i="4" l="1"/>
  <c r="C81" i="4" s="1"/>
  <c r="O59" i="4"/>
  <c r="Q59" i="4"/>
  <c r="B81" i="4" s="1"/>
  <c r="Q76" i="4"/>
  <c r="Q66" i="4"/>
  <c r="N72" i="4"/>
  <c r="Q58" i="4"/>
  <c r="B80" i="4" s="1"/>
  <c r="N67" i="4"/>
  <c r="N58" i="4"/>
  <c r="C80" i="4" s="1"/>
  <c r="P73" i="4"/>
  <c r="O58" i="4"/>
  <c r="N65" i="4"/>
  <c r="N74" i="4"/>
  <c r="P61" i="4"/>
  <c r="O67" i="4"/>
  <c r="P74" i="4"/>
  <c r="O61" i="4"/>
  <c r="O73" i="4"/>
  <c r="P67" i="4"/>
  <c r="N61" i="4"/>
  <c r="C83" i="4" s="1"/>
  <c r="O65" i="4"/>
  <c r="Q74" i="4"/>
  <c r="Q75" i="4"/>
  <c r="O68" i="4"/>
  <c r="N75" i="4"/>
  <c r="O76" i="4"/>
  <c r="N64" i="4"/>
  <c r="P57" i="4"/>
  <c r="P62" i="4"/>
  <c r="P63" i="4"/>
  <c r="O57" i="4"/>
  <c r="N66" i="4"/>
  <c r="P75" i="4"/>
  <c r="P69" i="4"/>
  <c r="P60" i="4"/>
  <c r="O70" i="4"/>
  <c r="P72" i="4"/>
  <c r="O71" i="4"/>
  <c r="P76" i="4"/>
  <c r="Q63" i="4"/>
  <c r="P66" i="4"/>
  <c r="Q60" i="4"/>
  <c r="B82" i="4" s="1"/>
  <c r="Q70" i="4"/>
  <c r="N71" i="4"/>
  <c r="N70" i="4"/>
  <c r="N68" i="4"/>
  <c r="N57" i="4"/>
  <c r="C79" i="4" s="1"/>
  <c r="O72" i="4"/>
  <c r="Q71" i="4"/>
  <c r="Q73" i="4"/>
  <c r="N62" i="4"/>
  <c r="Q65" i="4"/>
  <c r="P64" i="4"/>
  <c r="N63" i="4"/>
  <c r="Q68" i="4"/>
  <c r="Q62" i="4"/>
  <c r="O64" i="4"/>
  <c r="N69" i="4"/>
  <c r="Q69" i="4"/>
  <c r="B85" i="4" l="1"/>
  <c r="C85" i="4"/>
  <c r="E29" i="4" l="1"/>
  <c r="F11" i="8" s="1"/>
  <c r="EJ11" i="8" s="1"/>
  <c r="J29" i="4" l="1"/>
  <c r="CU11" i="8"/>
  <c r="DB11" i="8"/>
  <c r="EQ11" i="8" s="1"/>
  <c r="G11" i="8"/>
  <c r="EK11" i="8" s="1"/>
  <c r="E30" i="4"/>
  <c r="E31" i="4" l="1"/>
  <c r="J31" i="4" s="1"/>
  <c r="CV11" i="8"/>
  <c r="DC11" i="8"/>
  <c r="ER11" i="8" s="1"/>
  <c r="J30" i="4"/>
  <c r="F12" i="8"/>
  <c r="EJ12" i="8" s="1"/>
  <c r="F13" i="8" l="1"/>
  <c r="EJ13" i="8" s="1"/>
  <c r="E32" i="4"/>
  <c r="J32" i="4" s="1"/>
  <c r="CU12" i="8"/>
  <c r="DB12" i="8"/>
  <c r="EQ12" i="8" s="1"/>
  <c r="G12" i="8"/>
  <c r="EK12" i="8" s="1"/>
  <c r="DB13" i="8" l="1"/>
  <c r="EQ13" i="8" s="1"/>
  <c r="CU13" i="8"/>
  <c r="G13" i="8"/>
  <c r="EK13" i="8" s="1"/>
  <c r="E33" i="4"/>
  <c r="J33" i="4" s="1"/>
  <c r="F14" i="8"/>
  <c r="EJ14" i="8" s="1"/>
  <c r="CV12" i="8"/>
  <c r="DC12" i="8"/>
  <c r="ER12" i="8" s="1"/>
  <c r="CV13" i="8" l="1"/>
  <c r="E34" i="4"/>
  <c r="J34" i="4" s="1"/>
  <c r="DC13" i="8"/>
  <c r="ER13" i="8" s="1"/>
  <c r="F15" i="8"/>
  <c r="EJ15" i="8" s="1"/>
  <c r="DB14" i="8"/>
  <c r="EQ14" i="8" s="1"/>
  <c r="G14" i="8"/>
  <c r="EK14" i="8" s="1"/>
  <c r="CU14" i="8"/>
  <c r="CU15" i="8" l="1"/>
  <c r="F16" i="8"/>
  <c r="EJ16" i="8" s="1"/>
  <c r="G15" i="8"/>
  <c r="EK15" i="8" s="1"/>
  <c r="E35" i="4"/>
  <c r="F17" i="8" s="1"/>
  <c r="EJ17" i="8" s="1"/>
  <c r="DB15" i="8"/>
  <c r="EQ15" i="8" s="1"/>
  <c r="CV14" i="8"/>
  <c r="DC14" i="8"/>
  <c r="ER14" i="8" s="1"/>
  <c r="G16" i="8" l="1"/>
  <c r="EK16" i="8" s="1"/>
  <c r="DB16" i="8"/>
  <c r="EQ16" i="8" s="1"/>
  <c r="CU16" i="8"/>
  <c r="E36" i="4"/>
  <c r="F18" i="8" s="1"/>
  <c r="EJ18" i="8" s="1"/>
  <c r="CV15" i="8"/>
  <c r="DC15" i="8"/>
  <c r="ER15" i="8" s="1"/>
  <c r="G17" i="8"/>
  <c r="EK17" i="8" s="1"/>
  <c r="DB17" i="8"/>
  <c r="EQ17" i="8" s="1"/>
  <c r="J35" i="4"/>
  <c r="CU17" i="8"/>
  <c r="E40" i="4"/>
  <c r="F22" i="8" s="1"/>
  <c r="EJ22" i="8" s="1"/>
  <c r="E44" i="4"/>
  <c r="F26" i="8" s="1"/>
  <c r="EJ26" i="8" s="1"/>
  <c r="E48" i="4"/>
  <c r="AG10" i="4"/>
  <c r="AF17" i="4" l="1"/>
  <c r="AG17" i="4"/>
  <c r="AG18" i="4"/>
  <c r="AF18" i="4"/>
  <c r="AG15" i="4"/>
  <c r="AF15" i="4"/>
  <c r="AF16" i="4"/>
  <c r="AG16" i="4"/>
  <c r="AF13" i="4"/>
  <c r="AG13" i="4"/>
  <c r="AF11" i="4"/>
  <c r="AG11" i="4"/>
  <c r="AF14" i="4"/>
  <c r="AG14" i="4"/>
  <c r="AF10" i="4"/>
  <c r="AF9" i="4"/>
  <c r="AF12" i="4"/>
  <c r="AG12" i="4"/>
  <c r="AG9" i="4"/>
  <c r="CV16" i="8"/>
  <c r="DC16" i="8"/>
  <c r="ER16" i="8" s="1"/>
  <c r="G18" i="8"/>
  <c r="EK18" i="8" s="1"/>
  <c r="DB18" i="8"/>
  <c r="EQ18" i="8" s="1"/>
  <c r="J36" i="4"/>
  <c r="CU18" i="8"/>
  <c r="DC17" i="8"/>
  <c r="ER17" i="8" s="1"/>
  <c r="CV17" i="8"/>
  <c r="CU22" i="8"/>
  <c r="DB22" i="8"/>
  <c r="EQ22" i="8" s="1"/>
  <c r="CU26" i="8"/>
  <c r="DB26" i="8"/>
  <c r="EQ26" i="8" s="1"/>
  <c r="G26" i="8"/>
  <c r="EK26" i="8" s="1"/>
  <c r="G22" i="8"/>
  <c r="EK22" i="8" s="1"/>
  <c r="J40" i="4"/>
  <c r="J44" i="4"/>
  <c r="J48" i="4"/>
  <c r="E38" i="4"/>
  <c r="F20" i="8" s="1"/>
  <c r="EJ20" i="8" s="1"/>
  <c r="E37" i="4"/>
  <c r="F19" i="8" s="1"/>
  <c r="EJ19" i="8" s="1"/>
  <c r="E41" i="4"/>
  <c r="F23" i="8" s="1"/>
  <c r="EJ23" i="8" s="1"/>
  <c r="E39" i="4"/>
  <c r="F21" i="8" s="1"/>
  <c r="EJ21" i="8" s="1"/>
  <c r="E43" i="4"/>
  <c r="F25" i="8" s="1"/>
  <c r="EJ25" i="8" s="1"/>
  <c r="E42" i="4"/>
  <c r="F24" i="8" s="1"/>
  <c r="EJ24" i="8" s="1"/>
  <c r="E47" i="4"/>
  <c r="E45" i="4"/>
  <c r="E46" i="4"/>
  <c r="G22" i="4"/>
  <c r="CV18" i="8" l="1"/>
  <c r="DC18" i="8"/>
  <c r="ER18" i="8" s="1"/>
  <c r="AG4" i="4"/>
  <c r="AH4" i="4" s="1"/>
  <c r="AG3" i="4"/>
  <c r="AH3" i="4" s="1"/>
  <c r="CU21" i="8"/>
  <c r="DB21" i="8"/>
  <c r="EQ21" i="8" s="1"/>
  <c r="CU23" i="8"/>
  <c r="DB23" i="8"/>
  <c r="EQ23" i="8" s="1"/>
  <c r="CU24" i="8"/>
  <c r="DB24" i="8"/>
  <c r="EQ24" i="8" s="1"/>
  <c r="CU19" i="8"/>
  <c r="DB19" i="8"/>
  <c r="EQ19" i="8" s="1"/>
  <c r="CV22" i="8"/>
  <c r="DC22" i="8"/>
  <c r="ER22" i="8" s="1"/>
  <c r="CU25" i="8"/>
  <c r="DB25" i="8"/>
  <c r="EQ25" i="8" s="1"/>
  <c r="CU20" i="8"/>
  <c r="DB20" i="8"/>
  <c r="EQ20" i="8" s="1"/>
  <c r="CV26" i="8"/>
  <c r="DC26" i="8"/>
  <c r="ER26" i="8" s="1"/>
  <c r="H22" i="4"/>
  <c r="G23" i="4" s="1"/>
  <c r="H25" i="4" s="1"/>
  <c r="ES5" i="8" s="1"/>
  <c r="G21" i="8"/>
  <c r="EK21" i="8" s="1"/>
  <c r="G23" i="8"/>
  <c r="EK23" i="8" s="1"/>
  <c r="G24" i="8"/>
  <c r="EK24" i="8" s="1"/>
  <c r="G19" i="8"/>
  <c r="EK19" i="8" s="1"/>
  <c r="G25" i="8"/>
  <c r="EK25" i="8" s="1"/>
  <c r="G20" i="8"/>
  <c r="EK20" i="8" s="1"/>
  <c r="J42" i="4"/>
  <c r="J37" i="4"/>
  <c r="J46" i="4"/>
  <c r="J39" i="4"/>
  <c r="J43" i="4"/>
  <c r="J38" i="4"/>
  <c r="J45" i="4"/>
  <c r="J47" i="4"/>
  <c r="J41" i="4"/>
  <c r="G24" i="4"/>
  <c r="ES10" i="8" l="1"/>
  <c r="ES9" i="8"/>
  <c r="AJ2" i="4"/>
  <c r="AI2" i="4"/>
  <c r="ET5" i="8"/>
  <c r="H29" i="8"/>
  <c r="I29" i="8" s="1"/>
  <c r="J29" i="8" s="1"/>
  <c r="K29" i="8" s="1"/>
  <c r="L29" i="8" s="1"/>
  <c r="M29" i="8" s="1"/>
  <c r="N29" i="8" s="1"/>
  <c r="O29" i="8" s="1"/>
  <c r="P29" i="8" s="1"/>
  <c r="Q29" i="8" s="1"/>
  <c r="R29" i="8" s="1"/>
  <c r="S29" i="8" s="1"/>
  <c r="T29" i="8" s="1"/>
  <c r="U29" i="8" s="1"/>
  <c r="V29" i="8" s="1"/>
  <c r="W29" i="8" s="1"/>
  <c r="X29" i="8" s="1"/>
  <c r="Y29" i="8" s="1"/>
  <c r="Z29" i="8" s="1"/>
  <c r="AA29" i="8" s="1"/>
  <c r="AB29" i="8" s="1"/>
  <c r="AC29" i="8" s="1"/>
  <c r="AD29" i="8" s="1"/>
  <c r="AE29" i="8" s="1"/>
  <c r="AF29" i="8" s="1"/>
  <c r="AG29" i="8" s="1"/>
  <c r="AH29" i="8" s="1"/>
  <c r="AI29" i="8" s="1"/>
  <c r="AJ29" i="8" s="1"/>
  <c r="AK29" i="8" s="1"/>
  <c r="AL29" i="8" s="1"/>
  <c r="AM29" i="8" s="1"/>
  <c r="AN29" i="8" s="1"/>
  <c r="AO29" i="8" s="1"/>
  <c r="AP29" i="8" s="1"/>
  <c r="AQ29" i="8" s="1"/>
  <c r="AR29" i="8" s="1"/>
  <c r="AS29" i="8" s="1"/>
  <c r="AT29" i="8" s="1"/>
  <c r="AU29" i="8" s="1"/>
  <c r="AV29" i="8" s="1"/>
  <c r="AW29" i="8" s="1"/>
  <c r="AX29" i="8" s="1"/>
  <c r="AY29" i="8" s="1"/>
  <c r="AZ29" i="8" s="1"/>
  <c r="BA29" i="8" s="1"/>
  <c r="BB29" i="8" s="1"/>
  <c r="BC29" i="8" s="1"/>
  <c r="BD29" i="8" s="1"/>
  <c r="BE29" i="8" s="1"/>
  <c r="BF29" i="8" s="1"/>
  <c r="BG29" i="8" s="1"/>
  <c r="BH29" i="8" s="1"/>
  <c r="BI29" i="8" s="1"/>
  <c r="BJ29" i="8" s="1"/>
  <c r="BK29" i="8" s="1"/>
  <c r="BL29" i="8" s="1"/>
  <c r="BM29" i="8" s="1"/>
  <c r="BN29" i="8" s="1"/>
  <c r="BO29" i="8" s="1"/>
  <c r="BP29" i="8" s="1"/>
  <c r="BQ29" i="8" s="1"/>
  <c r="BR29" i="8" s="1"/>
  <c r="BS29" i="8" s="1"/>
  <c r="BT29" i="8" s="1"/>
  <c r="BU29" i="8" s="1"/>
  <c r="BV29" i="8" s="1"/>
  <c r="BW29" i="8" s="1"/>
  <c r="BX29" i="8" s="1"/>
  <c r="BY29" i="8" s="1"/>
  <c r="BZ29" i="8" s="1"/>
  <c r="CA29" i="8" s="1"/>
  <c r="CB29" i="8" s="1"/>
  <c r="CC29" i="8" s="1"/>
  <c r="CD29" i="8" s="1"/>
  <c r="CE29" i="8" s="1"/>
  <c r="CF29" i="8" s="1"/>
  <c r="CG29" i="8" s="1"/>
  <c r="CH29" i="8" s="1"/>
  <c r="CI29" i="8" s="1"/>
  <c r="CJ29" i="8" s="1"/>
  <c r="CK29" i="8" s="1"/>
  <c r="CL29" i="8" s="1"/>
  <c r="CM29" i="8" s="1"/>
  <c r="CN29" i="8" s="1"/>
  <c r="CO29" i="8" s="1"/>
  <c r="CP29" i="8" s="1"/>
  <c r="CQ29" i="8" s="1"/>
  <c r="CR29" i="8" s="1"/>
  <c r="CS29" i="8" s="1"/>
  <c r="DD5" i="8"/>
  <c r="DD10" i="8" s="1"/>
  <c r="CV25" i="8"/>
  <c r="DC25" i="8"/>
  <c r="ER25" i="8" s="1"/>
  <c r="CV23" i="8"/>
  <c r="DC23" i="8"/>
  <c r="ER23" i="8" s="1"/>
  <c r="CV19" i="8"/>
  <c r="DC19" i="8"/>
  <c r="ER19" i="8" s="1"/>
  <c r="CV21" i="8"/>
  <c r="DC21" i="8"/>
  <c r="ER21" i="8" s="1"/>
  <c r="CV20" i="8"/>
  <c r="DC20" i="8"/>
  <c r="ER20" i="8" s="1"/>
  <c r="CV24" i="8"/>
  <c r="DC24" i="8"/>
  <c r="ER24" i="8" s="1"/>
  <c r="H5" i="8"/>
  <c r="H10" i="8" l="1"/>
  <c r="H9" i="8"/>
  <c r="DD9" i="8"/>
  <c r="ET10" i="8"/>
  <c r="ET9" i="8"/>
  <c r="I5" i="8"/>
  <c r="J5" i="8" s="1"/>
  <c r="K5" i="8" s="1"/>
  <c r="L5" i="8" s="1"/>
  <c r="M5" i="8" s="1"/>
  <c r="EU5" i="8"/>
  <c r="DE5" i="8"/>
  <c r="DE10" i="8" s="1"/>
  <c r="DE9" i="8" s="1"/>
  <c r="M9" i="8" l="1"/>
  <c r="M10" i="8"/>
  <c r="EU9" i="8"/>
  <c r="EU10" i="8"/>
  <c r="N5" i="8"/>
  <c r="O5" i="8" s="1"/>
  <c r="P5" i="8" s="1"/>
  <c r="Q5" i="8" s="1"/>
  <c r="R5" i="8" s="1"/>
  <c r="EV5" i="8"/>
  <c r="DF5" i="8"/>
  <c r="DF10" i="8" s="1"/>
  <c r="DF9" i="8" s="1"/>
  <c r="R9" i="8" l="1"/>
  <c r="R10" i="8"/>
  <c r="EV9" i="8"/>
  <c r="EV10" i="8"/>
  <c r="S5" i="8"/>
  <c r="T5" i="8" s="1"/>
  <c r="U5" i="8" s="1"/>
  <c r="V5" i="8" s="1"/>
  <c r="W5" i="8" s="1"/>
  <c r="EW5" i="8"/>
  <c r="DG5" i="8"/>
  <c r="DG10" i="8" s="1"/>
  <c r="DG9" i="8" s="1"/>
  <c r="W10" i="8" l="1"/>
  <c r="W9" i="8"/>
  <c r="EW10" i="8"/>
  <c r="EW9" i="8"/>
  <c r="X5" i="8"/>
  <c r="Y5" i="8" s="1"/>
  <c r="Z5" i="8" s="1"/>
  <c r="AA5" i="8" s="1"/>
  <c r="AB5" i="8" s="1"/>
  <c r="EX5" i="8"/>
  <c r="DH5" i="8"/>
  <c r="DH10" i="8" s="1"/>
  <c r="DH9" i="8" s="1"/>
  <c r="EX10" i="8" l="1"/>
  <c r="EX9" i="8"/>
  <c r="AB10" i="8"/>
  <c r="AB9" i="8"/>
  <c r="AC5" i="8"/>
  <c r="AD5" i="8" s="1"/>
  <c r="AE5" i="8" s="1"/>
  <c r="AF5" i="8" s="1"/>
  <c r="AG5" i="8" s="1"/>
  <c r="EY5" i="8"/>
  <c r="DI5" i="8"/>
  <c r="DI10" i="8" s="1"/>
  <c r="DI9" i="8" s="1"/>
  <c r="EY9" i="8" l="1"/>
  <c r="EY10" i="8"/>
  <c r="AG9" i="8"/>
  <c r="AG10" i="8"/>
  <c r="AH5" i="8"/>
  <c r="AI5" i="8" s="1"/>
  <c r="AJ5" i="8" s="1"/>
  <c r="AK5" i="8" s="1"/>
  <c r="AL5" i="8" s="1"/>
  <c r="EZ5" i="8"/>
  <c r="DJ5" i="8"/>
  <c r="DJ10" i="8" s="1"/>
  <c r="EZ9" i="8" l="1"/>
  <c r="EZ10" i="8"/>
  <c r="DJ9" i="8"/>
  <c r="AL9" i="8"/>
  <c r="AL10" i="8"/>
  <c r="AM5" i="8"/>
  <c r="AN5" i="8" s="1"/>
  <c r="AO5" i="8" s="1"/>
  <c r="AP5" i="8" s="1"/>
  <c r="AQ5" i="8" s="1"/>
  <c r="FA5" i="8"/>
  <c r="DK5" i="8"/>
  <c r="DK10" i="8" s="1"/>
  <c r="DK9" i="8" s="1"/>
  <c r="AQ10" i="8" l="1"/>
  <c r="AQ9" i="8"/>
  <c r="FA10" i="8"/>
  <c r="FA9" i="8"/>
  <c r="AR5" i="8"/>
  <c r="AS5" i="8" s="1"/>
  <c r="AT5" i="8" s="1"/>
  <c r="AU5" i="8" s="1"/>
  <c r="AV5" i="8" s="1"/>
  <c r="FB5" i="8"/>
  <c r="DL5" i="8"/>
  <c r="DL10" i="8" s="1"/>
  <c r="DL9" i="8" s="1"/>
  <c r="FB10" i="8" l="1"/>
  <c r="FB9" i="8"/>
  <c r="AV10" i="8"/>
  <c r="AV9" i="8"/>
  <c r="AW5" i="8"/>
  <c r="AX5" i="8" s="1"/>
  <c r="AY5" i="8" s="1"/>
  <c r="AZ5" i="8" s="1"/>
  <c r="BA5" i="8" s="1"/>
  <c r="FC5" i="8"/>
  <c r="DM5" i="8"/>
  <c r="DM10" i="8" s="1"/>
  <c r="DM9" i="8" s="1"/>
  <c r="FC9" i="8" l="1"/>
  <c r="FC10" i="8"/>
  <c r="BA9" i="8"/>
  <c r="BA10" i="8"/>
  <c r="BB5" i="8"/>
  <c r="BC5" i="8" s="1"/>
  <c r="BD5" i="8" s="1"/>
  <c r="BE5" i="8" s="1"/>
  <c r="BF5" i="8" s="1"/>
  <c r="FD5" i="8"/>
  <c r="DN5" i="8"/>
  <c r="DN10" i="8" s="1"/>
  <c r="DN9" i="8" s="1"/>
  <c r="FD9" i="8" l="1"/>
  <c r="FD10" i="8"/>
  <c r="BF9" i="8"/>
  <c r="BF10" i="8"/>
  <c r="BG5" i="8"/>
  <c r="BH5" i="8" s="1"/>
  <c r="BI5" i="8" s="1"/>
  <c r="BJ5" i="8" s="1"/>
  <c r="BK5" i="8" s="1"/>
  <c r="FE5" i="8"/>
  <c r="DO5" i="8"/>
  <c r="DO10" i="8" s="1"/>
  <c r="DO9" i="8" s="1"/>
  <c r="FE10" i="8" l="1"/>
  <c r="FE9" i="8"/>
  <c r="BK10" i="8"/>
  <c r="BK9" i="8"/>
  <c r="BL5" i="8"/>
  <c r="BM5" i="8" s="1"/>
  <c r="BN5" i="8" s="1"/>
  <c r="BO5" i="8" s="1"/>
  <c r="BP5" i="8" s="1"/>
  <c r="FF5" i="8"/>
  <c r="DP5" i="8"/>
  <c r="DP10" i="8" s="1"/>
  <c r="DP9" i="8" s="1"/>
  <c r="FF10" i="8" l="1"/>
  <c r="FF9" i="8"/>
  <c r="BP10" i="8"/>
  <c r="BP9" i="8"/>
  <c r="BQ5" i="8"/>
  <c r="BR5" i="8" s="1"/>
  <c r="BS5" i="8" s="1"/>
  <c r="BT5" i="8" s="1"/>
  <c r="BU5" i="8" s="1"/>
  <c r="FG5" i="8"/>
  <c r="DQ5" i="8"/>
  <c r="DQ10" i="8" s="1"/>
  <c r="DQ9" i="8" s="1"/>
  <c r="BU9" i="8" l="1"/>
  <c r="BU10" i="8"/>
  <c r="FG9" i="8"/>
  <c r="FG10" i="8"/>
  <c r="BV5" i="8"/>
  <c r="BW5" i="8" s="1"/>
  <c r="BX5" i="8" s="1"/>
  <c r="BY5" i="8" s="1"/>
  <c r="BZ5" i="8" s="1"/>
  <c r="FH5" i="8"/>
  <c r="DR5" i="8"/>
  <c r="DR10" i="8" s="1"/>
  <c r="DR9" i="8" s="1"/>
  <c r="FH9" i="8" l="1"/>
  <c r="FH10" i="8"/>
  <c r="BZ9" i="8"/>
  <c r="BZ10" i="8"/>
  <c r="CA5" i="8"/>
  <c r="CB5" i="8" s="1"/>
  <c r="CC5" i="8" s="1"/>
  <c r="CD5" i="8" s="1"/>
  <c r="CE5" i="8" s="1"/>
  <c r="FI5" i="8"/>
  <c r="DS5" i="8"/>
  <c r="DS10" i="8" s="1"/>
  <c r="DS9" i="8" s="1"/>
  <c r="FI10" i="8" l="1"/>
  <c r="FI9" i="8"/>
  <c r="CE10" i="8"/>
  <c r="CE9" i="8"/>
  <c r="CF5" i="8"/>
  <c r="CG5" i="8" s="1"/>
  <c r="CH5" i="8" s="1"/>
  <c r="CI5" i="8" s="1"/>
  <c r="CJ5" i="8" s="1"/>
  <c r="FJ5" i="8"/>
  <c r="DT5" i="8"/>
  <c r="DT10" i="8" s="1"/>
  <c r="DT9" i="8" s="1"/>
  <c r="FJ10" i="8" l="1"/>
  <c r="FJ9" i="8"/>
  <c r="CJ10" i="8"/>
  <c r="CJ9" i="8"/>
  <c r="CK5" i="8"/>
  <c r="CL5" i="8" s="1"/>
  <c r="CM5" i="8" s="1"/>
  <c r="CN5" i="8" s="1"/>
  <c r="CO5" i="8" s="1"/>
  <c r="FK5" i="8"/>
  <c r="DU5" i="8"/>
  <c r="DU10" i="8" s="1"/>
  <c r="DU9" i="8" s="1"/>
  <c r="FK9" i="8" l="1"/>
  <c r="FK10" i="8"/>
  <c r="CO9" i="8"/>
  <c r="CO10" i="8"/>
  <c r="CP5" i="8"/>
  <c r="CQ5" i="8" s="1"/>
  <c r="CR5" i="8" s="1"/>
  <c r="CS5" i="8" s="1"/>
  <c r="CT5" i="8" s="1"/>
  <c r="CT10" i="8" s="1"/>
  <c r="FL5" i="8"/>
  <c r="DV5" i="8"/>
  <c r="DV10" i="8" s="1"/>
  <c r="DV9" i="8" s="1"/>
  <c r="FL9" i="8" l="1"/>
  <c r="FL10" i="8"/>
  <c r="FM5" i="8"/>
  <c r="DW5" i="8"/>
  <c r="DW10" i="8" s="1"/>
  <c r="DW9" i="8" s="1"/>
  <c r="FM10" i="8" l="1"/>
  <c r="FM9" i="8"/>
  <c r="FN5" i="8"/>
  <c r="DX5" i="8"/>
  <c r="DX10" i="8" s="1"/>
  <c r="DX9" i="8" s="1"/>
  <c r="FN10" i="8" l="1"/>
  <c r="FN9" i="8"/>
  <c r="FO5" i="8"/>
  <c r="DY5" i="8"/>
  <c r="DY10" i="8" s="1"/>
  <c r="DY9" i="8" s="1"/>
  <c r="FO9" i="8" l="1"/>
  <c r="FO10" i="8"/>
  <c r="FP5" i="8"/>
  <c r="DZ5" i="8"/>
  <c r="DZ10" i="8" s="1"/>
  <c r="FP9" i="8" l="1"/>
  <c r="FP10" i="8"/>
  <c r="DZ9" i="8"/>
  <c r="FQ5" i="8"/>
  <c r="EA5" i="8"/>
  <c r="EA10" i="8" s="1"/>
  <c r="EA9" i="8" s="1"/>
  <c r="FQ10" i="8" l="1"/>
  <c r="FQ9" i="8"/>
  <c r="FR5" i="8"/>
  <c r="EB5" i="8"/>
  <c r="EB10" i="8" s="1"/>
  <c r="EB9" i="8" s="1"/>
  <c r="FR10" i="8" l="1"/>
  <c r="FR9" i="8"/>
  <c r="FS5" i="8"/>
  <c r="EC5" i="8"/>
  <c r="EC10" i="8" s="1"/>
  <c r="EC9" i="8" s="1"/>
  <c r="FS9" i="8" l="1"/>
  <c r="FS10" i="8"/>
  <c r="FT5" i="8"/>
  <c r="ED5" i="8"/>
  <c r="ED10" i="8" s="1"/>
  <c r="ED9" i="8" s="1"/>
  <c r="FT9" i="8" l="1"/>
  <c r="FT10" i="8"/>
  <c r="FU5" i="8"/>
  <c r="EE5" i="8"/>
  <c r="EE10" i="8" s="1"/>
  <c r="EE9" i="8" s="1"/>
  <c r="FU10" i="8" l="1"/>
  <c r="FU9" i="8"/>
  <c r="FV5" i="8"/>
  <c r="EF5" i="8"/>
  <c r="EF10" i="8" s="1"/>
  <c r="EF9" i="8" s="1"/>
  <c r="FV10" i="8" l="1"/>
  <c r="FV9" i="8"/>
  <c r="EG5" i="8"/>
  <c r="EG10" i="8" s="1"/>
  <c r="EG9" i="8" s="1"/>
  <c r="EH5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Purnachandra Rao Duggirala</author>
  </authors>
  <commentList>
    <comment ref="L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Any comment you enter here will be shown in dashboard</t>
        </r>
      </text>
    </comment>
  </commentList>
</comments>
</file>

<file path=xl/sharedStrings.xml><?xml version="1.0" encoding="utf-8"?>
<sst xmlns="http://schemas.openxmlformats.org/spreadsheetml/2006/main" count="949" uniqueCount="320">
  <si>
    <t>Project 1</t>
  </si>
  <si>
    <t>Activity</t>
  </si>
  <si>
    <t>Start Date</t>
  </si>
  <si>
    <t>Duration</t>
  </si>
  <si>
    <t>Budget</t>
  </si>
  <si>
    <t>Budget ($)</t>
  </si>
  <si>
    <t>Actual ($)</t>
  </si>
  <si>
    <t>% done</t>
  </si>
  <si>
    <t>Activity 1</t>
  </si>
  <si>
    <t>Activity 2</t>
  </si>
  <si>
    <t>Activity 3</t>
  </si>
  <si>
    <t>Activity 4</t>
  </si>
  <si>
    <t>Activity 5</t>
  </si>
  <si>
    <t>Activity 6</t>
  </si>
  <si>
    <t>Activity 7</t>
  </si>
  <si>
    <t>Activity 8</t>
  </si>
  <si>
    <t>Activity 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</si>
  <si>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</si>
  <si>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</si>
  <si>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</si>
  <si>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</si>
  <si>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</si>
  <si>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</si>
  <si>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</si>
  <si>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</si>
  <si>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</si>
  <si>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</si>
  <si>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</si>
  <si>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</si>
  <si>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</si>
  <si>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</si>
  <si>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</si>
  <si>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</si>
  <si>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</si>
  <si>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t>Activity 27</t>
  </si>
  <si>
    <t>Activity 28</t>
  </si>
  <si>
    <t>Activity 29</t>
  </si>
  <si>
    <t>Activity 30</t>
  </si>
  <si>
    <t>Activity 31</t>
  </si>
  <si>
    <t>Activity 32</t>
  </si>
  <si>
    <t>Activity 33</t>
  </si>
  <si>
    <t>Activity 34</t>
  </si>
  <si>
    <t>Activity 35</t>
  </si>
  <si>
    <t>Activity 36</t>
  </si>
  <si>
    <t>Activity 37</t>
  </si>
  <si>
    <t>Activity 38</t>
  </si>
  <si>
    <t>Activity 39</t>
  </si>
  <si>
    <t>Activity 40</t>
  </si>
  <si>
    <t>ID</t>
  </si>
  <si>
    <t>Project Name</t>
  </si>
  <si>
    <t>ABC Integration</t>
  </si>
  <si>
    <t>Morlott Highway</t>
  </si>
  <si>
    <t>Riggs-A-lot decomissioning</t>
  </si>
  <si>
    <t>12th Annual Customer Convention</t>
  </si>
  <si>
    <t>Six Sigma Assessment</t>
  </si>
  <si>
    <t>CBM Development</t>
  </si>
  <si>
    <t>ASSOC Maintenance</t>
  </si>
  <si>
    <t>HRM Rollout</t>
  </si>
  <si>
    <t>Project Names &amp; Contact details</t>
  </si>
  <si>
    <t>Project Owner</t>
  </si>
  <si>
    <t>Adam Albert</t>
  </si>
  <si>
    <t>Benny Brown</t>
  </si>
  <si>
    <t>Cathernie Crown</t>
  </si>
  <si>
    <t>Daniel Darwin</t>
  </si>
  <si>
    <t>Egan Ebert</t>
  </si>
  <si>
    <t>Frank Fraiser</t>
  </si>
  <si>
    <t>Giri Gopalakrishnan</t>
  </si>
  <si>
    <t>Hart Hankenson</t>
  </si>
  <si>
    <t>Email</t>
  </si>
  <si>
    <t>Phone</t>
  </si>
  <si>
    <t>Deadline</t>
  </si>
  <si>
    <t>Project</t>
  </si>
  <si>
    <t>Severity</t>
  </si>
  <si>
    <t>Due date</t>
  </si>
  <si>
    <t>Team Details</t>
  </si>
  <si>
    <t>Name</t>
  </si>
  <si>
    <t>Email Address</t>
  </si>
  <si>
    <t>Person Name1</t>
  </si>
  <si>
    <t>Person Name2</t>
  </si>
  <si>
    <t>Person Name3</t>
  </si>
  <si>
    <t>Person Name4</t>
  </si>
  <si>
    <t>Person Name5</t>
  </si>
  <si>
    <t>Person Name6</t>
  </si>
  <si>
    <t>Person Name7</t>
  </si>
  <si>
    <t>Person Name8</t>
  </si>
  <si>
    <t>Person Name9</t>
  </si>
  <si>
    <t>Person Name10</t>
  </si>
  <si>
    <t>Person Name11</t>
  </si>
  <si>
    <t>Person Name12</t>
  </si>
  <si>
    <t>Person Name13</t>
  </si>
  <si>
    <t>Person Name14</t>
  </si>
  <si>
    <t>Person Name15</t>
  </si>
  <si>
    <t>Person Name16</t>
  </si>
  <si>
    <t>Risks</t>
  </si>
  <si>
    <t>Description</t>
  </si>
  <si>
    <t>In Project</t>
  </si>
  <si>
    <t>Risk Description</t>
  </si>
  <si>
    <t>Mitigation Plan</t>
  </si>
  <si>
    <t>Issues</t>
  </si>
  <si>
    <t>Assigned to</t>
  </si>
  <si>
    <t>Criticality</t>
  </si>
  <si>
    <t>(1 to 5)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</si>
  <si>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</si>
  <si>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</si>
  <si>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</si>
  <si>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</si>
  <si>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</si>
  <si>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</si>
  <si>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</si>
  <si>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</si>
  <si>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</si>
  <si>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Selected Project</t>
  </si>
  <si>
    <t>Count of Projects</t>
  </si>
  <si>
    <t xml:space="preserve">Offset </t>
  </si>
  <si>
    <t>#</t>
  </si>
  <si>
    <t>% Done</t>
  </si>
  <si>
    <t>Due Date</t>
  </si>
  <si>
    <t>Due in</t>
  </si>
  <si>
    <t>Budget Disp</t>
  </si>
  <si>
    <t>ia~</t>
  </si>
  <si>
    <t>Team Size</t>
  </si>
  <si>
    <t># of Tasks</t>
  </si>
  <si>
    <t>Table name</t>
  </si>
  <si>
    <t># of Risks</t>
  </si>
  <si>
    <t># of issues</t>
  </si>
  <si>
    <t>Closed?</t>
  </si>
  <si>
    <t>&gt;=3</t>
  </si>
  <si>
    <t>Display</t>
  </si>
  <si>
    <t></t>
  </si>
  <si>
    <t>i</t>
  </si>
  <si>
    <t>a</t>
  </si>
  <si>
    <t>~</t>
  </si>
  <si>
    <t>Spent ($)</t>
  </si>
  <si>
    <t>Spent</t>
  </si>
  <si>
    <t>Plan for Selected Project:</t>
  </si>
  <si>
    <t>Plan</t>
  </si>
  <si>
    <t>Offset</t>
  </si>
  <si>
    <t>Plan&gt;</t>
  </si>
  <si>
    <t>Min Start date</t>
  </si>
  <si>
    <t>Total Plan Duration</t>
  </si>
  <si>
    <t>List of Holidays</t>
  </si>
  <si>
    <t>Date</t>
  </si>
  <si>
    <t>Reason</t>
  </si>
  <si>
    <t>New years eve</t>
  </si>
  <si>
    <t>Christmas</t>
  </si>
  <si>
    <t>Days, Weeks or Months?</t>
  </si>
  <si>
    <t>Plan Width</t>
  </si>
  <si>
    <t>Start</t>
  </si>
  <si>
    <t>% Budget</t>
  </si>
  <si>
    <t>Green</t>
  </si>
  <si>
    <t>Amber</t>
  </si>
  <si>
    <t>Project Progress Traffic Light thresholds</t>
  </si>
  <si>
    <t>Issues for Selected Project</t>
  </si>
  <si>
    <t>All issues in this project</t>
  </si>
  <si>
    <t>Sorted by criticality &amp; Due date and open-ness</t>
  </si>
  <si>
    <t>Score</t>
  </si>
  <si>
    <t>Sort Order</t>
  </si>
  <si>
    <t>Sorted</t>
  </si>
  <si>
    <t>IDs</t>
  </si>
  <si>
    <t>Top 5 issues</t>
  </si>
  <si>
    <t>Critical Issues</t>
  </si>
  <si>
    <t>Risks for selected Project</t>
  </si>
  <si>
    <t>Max issue due date</t>
  </si>
  <si>
    <t>Min issue due date</t>
  </si>
  <si>
    <t>Top Risks</t>
  </si>
  <si>
    <t>Sort by severity &amp; ID</t>
  </si>
  <si>
    <t>Total</t>
  </si>
  <si>
    <t>Tasks</t>
  </si>
  <si>
    <t>Tasks for the selected project</t>
  </si>
  <si>
    <t>Completed</t>
  </si>
  <si>
    <t>In Progress</t>
  </si>
  <si>
    <t>Yet to start</t>
  </si>
  <si>
    <t>People</t>
  </si>
  <si>
    <t>People in this project</t>
  </si>
  <si>
    <t>Comments</t>
  </si>
  <si>
    <t>Label</t>
  </si>
  <si>
    <t>Program level calculations &gt;&gt;</t>
  </si>
  <si>
    <t>Total Projects</t>
  </si>
  <si>
    <t>Total Budgets</t>
  </si>
  <si>
    <t>Total Spent</t>
  </si>
  <si>
    <t>%</t>
  </si>
  <si>
    <t>Progress</t>
  </si>
  <si>
    <t>Total members</t>
  </si>
  <si>
    <t>Totals</t>
  </si>
  <si>
    <t>Percents</t>
  </si>
  <si>
    <t>Last project due by</t>
  </si>
  <si>
    <t>In next 6 months</t>
  </si>
  <si>
    <t>Sort Type</t>
  </si>
  <si>
    <t>Sort Types</t>
  </si>
  <si>
    <t>Due Date (Now -&gt; Later)</t>
  </si>
  <si>
    <t>Original Order</t>
  </si>
  <si>
    <t>Sort Type Desc</t>
  </si>
  <si>
    <t>% Budget Spent</t>
  </si>
  <si>
    <t>No. of Issues Pending</t>
  </si>
  <si>
    <t>No. of Risks Unaddressed</t>
  </si>
  <si>
    <t>Sort Column</t>
  </si>
  <si>
    <t>De-dup</t>
  </si>
  <si>
    <t>Count</t>
  </si>
  <si>
    <t>Ascending / Descending:</t>
  </si>
  <si>
    <t>End</t>
  </si>
  <si>
    <t>Project ID</t>
  </si>
  <si>
    <t>Project Table Name</t>
  </si>
  <si>
    <t>View in</t>
  </si>
  <si>
    <t>Days</t>
  </si>
  <si>
    <t>Completion</t>
  </si>
  <si>
    <t>Gantt Start date</t>
  </si>
  <si>
    <t>Gantt Start + Offset</t>
  </si>
  <si>
    <t>Dates -&gt;</t>
  </si>
  <si>
    <t>Daily View</t>
  </si>
  <si>
    <t>Weekly View</t>
  </si>
  <si>
    <t>Monthly View</t>
  </si>
  <si>
    <t>Daily</t>
  </si>
  <si>
    <t>Weekly</t>
  </si>
  <si>
    <t>Monthly</t>
  </si>
  <si>
    <t>People Distribution</t>
  </si>
  <si>
    <t>Max</t>
  </si>
  <si>
    <t>Min</t>
  </si>
  <si>
    <t>Band</t>
  </si>
  <si>
    <t>Range</t>
  </si>
  <si>
    <t>Activity Completion</t>
  </si>
  <si>
    <t>Open Issues (a lot -&gt; a few)</t>
  </si>
  <si>
    <t>Risks (a lot -&gt; a few)</t>
  </si>
  <si>
    <t>% Budget Spent (100 -&gt; 0)</t>
  </si>
  <si>
    <t>Max Risks</t>
  </si>
  <si>
    <t>Max Open Issues</t>
  </si>
  <si>
    <t>Value</t>
  </si>
  <si>
    <t>Disp</t>
  </si>
  <si>
    <t>Starts</t>
  </si>
  <si>
    <t>Activity Starts</t>
  </si>
  <si>
    <t>Issues Due</t>
  </si>
  <si>
    <t>Ends</t>
  </si>
  <si>
    <t>Last Project</t>
  </si>
  <si>
    <t>% Done (0 -&gt; 100%)</t>
  </si>
  <si>
    <t>Activities</t>
  </si>
  <si>
    <t>LEGEND:</t>
  </si>
  <si>
    <t>Footer</t>
  </si>
  <si>
    <t>Prepared by</t>
  </si>
  <si>
    <t>DB Sheet name</t>
  </si>
  <si>
    <t>Welcome to Project Portfolio Dashboard. Follow these instructions to use the dashboard.</t>
  </si>
  <si>
    <t>Enter Individual project plan details in Project Plans page</t>
  </si>
  <si>
    <t xml:space="preserve">Enter Risks &amp; Issues </t>
  </si>
  <si>
    <t>Specify holidays and dashboard settings</t>
  </si>
  <si>
    <t>Check out the dashboard</t>
  </si>
  <si>
    <t>Define names for any new projects you have added</t>
  </si>
  <si>
    <t>Quick Links:</t>
  </si>
  <si>
    <r>
      <t xml:space="preserve">Sorting Projects by Sort order </t>
    </r>
    <r>
      <rPr>
        <sz val="18"/>
        <color theme="0"/>
        <rFont val="Franklin Gothic Book"/>
        <family val="2"/>
        <scheme val="minor"/>
      </rPr>
      <t>Please do not edit this sheet</t>
    </r>
  </si>
  <si>
    <r>
      <t xml:space="preserve">Calculations </t>
    </r>
    <r>
      <rPr>
        <sz val="20"/>
        <color theme="0"/>
        <rFont val="Franklin Gothic Book"/>
        <family val="2"/>
        <scheme val="minor"/>
      </rPr>
      <t>Plese do not edit</t>
    </r>
  </si>
  <si>
    <r>
      <t xml:space="preserve">Gantt Views </t>
    </r>
    <r>
      <rPr>
        <sz val="24"/>
        <color theme="0"/>
        <rFont val="Franklin Gothic Book"/>
        <family val="2"/>
        <scheme val="minor"/>
      </rPr>
      <t>Please do not edit</t>
    </r>
  </si>
  <si>
    <t>Enter high level project details in Project Details tab</t>
  </si>
  <si>
    <t>alberta@project.com</t>
  </si>
  <si>
    <t>758-072-8357</t>
  </si>
  <si>
    <t>We need to focus on this project. It is going to be superb failure.</t>
  </si>
  <si>
    <t>brownb@project.com</t>
  </si>
  <si>
    <t>663-179-7666</t>
  </si>
  <si>
    <t>We need to be clam on this project. It is going to be massive story.</t>
  </si>
  <si>
    <t>crownc@project.com</t>
  </si>
  <si>
    <t>396-233-5326</t>
  </si>
  <si>
    <t>We need to be clam on this project. It is going to be superb success.</t>
  </si>
  <si>
    <t>darwind@project.com</t>
  </si>
  <si>
    <t>667-789-3470</t>
  </si>
  <si>
    <t>We need to be wise on this project. It is going to be different failure.</t>
  </si>
  <si>
    <t>eberte@project.com</t>
  </si>
  <si>
    <t>334-903-8877</t>
  </si>
  <si>
    <t>We need to be wise on this project. It is going to be superb story.</t>
  </si>
  <si>
    <t>fraiserf@project.com</t>
  </si>
  <si>
    <t>261-543-6686</t>
  </si>
  <si>
    <t>We need to stay alert on this project. It is going to be superb failure.</t>
  </si>
  <si>
    <t>gopalakrishnang@project.com</t>
  </si>
  <si>
    <t>873-031-7089</t>
  </si>
  <si>
    <t>hankensonh@project.com</t>
  </si>
  <si>
    <t>426-687-7283</t>
  </si>
  <si>
    <t>We need to be clam on this project. It is going to be different success.</t>
  </si>
  <si>
    <t>person.name1@project.com</t>
  </si>
  <si>
    <t>289-750-2196</t>
  </si>
  <si>
    <t>person.name2@project.com</t>
  </si>
  <si>
    <t>233-059-6909</t>
  </si>
  <si>
    <t>person.name3@project.com</t>
  </si>
  <si>
    <t>485-595-2759</t>
  </si>
  <si>
    <t>person.name4@project.com</t>
  </si>
  <si>
    <t>245-489-3050</t>
  </si>
  <si>
    <t>person.name5@project.com</t>
  </si>
  <si>
    <t>768-996-3793</t>
  </si>
  <si>
    <t>person.name6@project.com</t>
  </si>
  <si>
    <t>392-527-5968</t>
  </si>
  <si>
    <t>person.name7@project.com</t>
  </si>
  <si>
    <t>658-911-9822</t>
  </si>
  <si>
    <t>person.name8@project.com</t>
  </si>
  <si>
    <t>512-650-6887</t>
  </si>
  <si>
    <t>person.name9@project.com</t>
  </si>
  <si>
    <t>972-072-1316</t>
  </si>
  <si>
    <t>person.name10@project.com</t>
  </si>
  <si>
    <t>460-032-1593</t>
  </si>
  <si>
    <t>person.name11@project.com</t>
  </si>
  <si>
    <t>393-446-0326</t>
  </si>
  <si>
    <t>person.name12@project.com</t>
  </si>
  <si>
    <t>852-827-6157</t>
  </si>
  <si>
    <t>person.name13@project.com</t>
  </si>
  <si>
    <t>354-270-8237</t>
  </si>
  <si>
    <t>person.name14@project.com</t>
  </si>
  <si>
    <t>865-365-6838</t>
  </si>
  <si>
    <t>person.name15@project.com</t>
  </si>
  <si>
    <t>267-925-7168</t>
  </si>
  <si>
    <t>person.name16@project.com</t>
  </si>
  <si>
    <t>661-614-4173</t>
  </si>
  <si>
    <t>Some complicated risk</t>
  </si>
  <si>
    <t/>
  </si>
  <si>
    <t>Some very simple issue</t>
  </si>
  <si>
    <t>Some very complicated risk</t>
  </si>
  <si>
    <t>Some very unforeseen risk</t>
  </si>
  <si>
    <t>Our plan</t>
  </si>
  <si>
    <t>Some simple issue</t>
  </si>
  <si>
    <t>Some very simple risk</t>
  </si>
  <si>
    <t>Some very unforeseen issue</t>
  </si>
  <si>
    <t>Yes</t>
  </si>
  <si>
    <t>Some complicated issue</t>
  </si>
  <si>
    <t>Some very complicated issue</t>
  </si>
  <si>
    <t>Some unforeseen risk</t>
  </si>
  <si>
    <t>Some simple risk</t>
  </si>
  <si>
    <t>XYZ</t>
  </si>
  <si>
    <t>xyz@mail.com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</si>
</sst>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d"/>
    <numFmt numFmtId="166" formatCode="mmm"/>
    <numFmt numFmtId="167" formatCode="0.00000000"/>
    <numFmt numFmtId="168" formatCode="mmmmm"/>
    <numFmt numFmtId="169" formatCode="mmm\ \'yy"/>
  </numFmts>
  <fonts count="37" x14ac:knownFonts="1"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i/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2"/>
      <color theme="1"/>
      <name val="Arial"/>
      <family val="2"/>
    </font>
    <font>
      <sz val="11"/>
      <color theme="1"/>
      <name val="Webdings"/>
      <family val="1"/>
      <charset val="2"/>
    </font>
    <font>
      <sz val="9"/>
      <color theme="1"/>
      <name val="Franklin Gothic Book"/>
      <family val="2"/>
      <scheme val="minor"/>
    </font>
    <font>
      <sz val="9"/>
      <color theme="1"/>
      <name val="Webdings"/>
      <family val="1"/>
      <charset val="2"/>
    </font>
    <font>
      <sz val="11"/>
      <color theme="1" tint="0.249977111117893"/>
      <name val="Webdings"/>
      <family val="1"/>
      <charset val="2"/>
    </font>
    <font>
      <sz val="12"/>
      <color theme="1"/>
      <name val="Franklin Gothic Book"/>
      <family val="2"/>
      <scheme val="minor"/>
    </font>
    <font>
      <sz val="11"/>
      <color theme="1" tint="0.249977111117893"/>
      <name val="Franklin Gothic Book"/>
      <family val="2"/>
      <scheme val="minor"/>
    </font>
    <font>
      <sz val="11"/>
      <color rgb="FFC00000"/>
      <name val="Franklin Gothic Book"/>
      <family val="2"/>
      <scheme val="minor"/>
    </font>
    <font>
      <sz val="11"/>
      <color theme="1" tint="0.14999847407452621"/>
      <name val="Franklin Gothic Demi"/>
      <family val="2"/>
    </font>
    <font>
      <sz val="16"/>
      <color theme="1" tint="0.14999847407452621"/>
      <name val="Franklin Gothic Demi"/>
      <family val="2"/>
    </font>
    <font>
      <sz val="12"/>
      <color theme="1" tint="0.249977111117893"/>
      <name val="Franklin Gothic Book"/>
      <family val="2"/>
    </font>
    <font>
      <sz val="8"/>
      <color theme="1"/>
      <name val="Franklin Gothic Book"/>
      <family val="2"/>
      <scheme val="minor"/>
    </font>
    <font>
      <b/>
      <sz val="9"/>
      <color theme="0"/>
      <name val="Franklin Gothic Book"/>
      <family val="2"/>
      <scheme val="minor"/>
    </font>
    <font>
      <b/>
      <sz val="9"/>
      <color indexed="81"/>
      <name val="Tahoma"/>
      <family val="2"/>
    </font>
    <font>
      <sz val="11"/>
      <color rgb="FF0070C0"/>
      <name val="Franklin Gothic Book"/>
      <family val="2"/>
      <scheme val="minor"/>
    </font>
    <font>
      <sz val="11"/>
      <color rgb="FF0070C0"/>
      <name val="Franklin Gothic Demi"/>
      <family val="2"/>
      <scheme val="major"/>
    </font>
    <font>
      <sz val="8"/>
      <color theme="1" tint="0.499984740745262"/>
      <name val="Franklin Gothic Book"/>
      <family val="2"/>
      <scheme val="minor"/>
    </font>
    <font>
      <sz val="8"/>
      <color theme="1" tint="0.249977111117893"/>
      <name val="Franklin Gothic Book"/>
      <family val="2"/>
      <scheme val="minor"/>
    </font>
    <font>
      <sz val="18"/>
      <color theme="0"/>
      <name val="Franklin Gothic Demi"/>
      <family val="2"/>
      <scheme val="major"/>
    </font>
    <font>
      <sz val="9"/>
      <color theme="1" tint="0.499984740745262"/>
      <name val="Franklin Gothic Book"/>
      <family val="2"/>
      <scheme val="minor"/>
    </font>
    <font>
      <u/>
      <sz val="11"/>
      <color theme="10"/>
      <name val="Franklin Gothic Book"/>
      <family val="2"/>
      <scheme val="minor"/>
    </font>
    <font>
      <u/>
      <sz val="9"/>
      <color theme="1" tint="0.499984740745262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0"/>
      <color theme="1" tint="0.499984740745262"/>
      <name val="Franklin Gothic Book"/>
      <family val="2"/>
      <scheme val="minor"/>
    </font>
    <font>
      <sz val="11"/>
      <color theme="1" tint="0.499984740745262"/>
      <name val="Franklin Gothic Book"/>
      <family val="2"/>
      <scheme val="minor"/>
    </font>
    <font>
      <b/>
      <u/>
      <sz val="11"/>
      <color rgb="FF0070C0"/>
      <name val="Franklin Gothic Book"/>
      <family val="2"/>
      <scheme val="minor"/>
    </font>
    <font>
      <sz val="20"/>
      <color theme="0"/>
      <name val="Franklin Gothic Demi"/>
      <family val="2"/>
      <scheme val="major"/>
    </font>
    <font>
      <sz val="18"/>
      <color theme="0"/>
      <name val="Franklin Gothic Book"/>
      <family val="2"/>
      <scheme val="minor"/>
    </font>
    <font>
      <sz val="20"/>
      <color theme="0"/>
      <name val="Franklin Gothic Book"/>
      <family val="2"/>
      <scheme val="minor"/>
    </font>
    <font>
      <sz val="24"/>
      <color theme="0"/>
      <name val="Franklin Gothic Demi"/>
      <family val="2"/>
      <scheme val="major"/>
    </font>
    <font>
      <sz val="24"/>
      <color theme="0"/>
      <name val="Franklin Gothic Book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gradientFill degree="45">
        <stop position="0">
          <color theme="0" tint="-5.0965910824915313E-2"/>
        </stop>
        <stop position="0.5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/>
      <diagonal/>
    </border>
    <border>
      <left/>
      <right/>
      <top style="thick">
        <color theme="0" tint="-0.14996795556505021"/>
      </top>
      <bottom/>
      <diagonal/>
    </border>
    <border>
      <left/>
      <right style="thick">
        <color theme="0" tint="-0.14996795556505021"/>
      </right>
      <top style="thick">
        <color theme="0" tint="-0.14996795556505021"/>
      </top>
      <bottom/>
      <diagonal/>
    </border>
    <border>
      <left style="thick">
        <color theme="0" tint="-0.14996795556505021"/>
      </left>
      <right/>
      <top/>
      <bottom/>
      <diagonal/>
    </border>
    <border>
      <left/>
      <right style="thick">
        <color theme="0" tint="-0.14996795556505021"/>
      </right>
      <top/>
      <bottom/>
      <diagonal/>
    </border>
    <border>
      <left style="thick">
        <color theme="0" tint="-0.14996795556505021"/>
      </left>
      <right/>
      <top/>
      <bottom style="thick">
        <color theme="0" tint="-0.14996795556505021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4.9989318521683403E-2"/>
      </bottom>
      <diagonal/>
    </border>
    <border>
      <left/>
      <right/>
      <top style="thin">
        <color theme="0" tint="-0.24994659260841701"/>
      </top>
      <bottom style="thin">
        <color theme="0" tint="-4.9989318521683403E-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4.9989318521683403E-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4.9989318521683403E-2"/>
      </bottom>
      <diagonal/>
    </border>
    <border>
      <left/>
      <right/>
      <top style="thin">
        <color theme="0" tint="-0.14999847407452621"/>
      </top>
      <bottom style="thin">
        <color theme="0" tint="-4.9989318521683403E-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9847407452621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0.14999847407452621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thin">
        <color theme="0" tint="-4.9989318521683403E-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0.149998474074526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4.9989318521683403E-2"/>
      </right>
      <top style="thin">
        <color theme="0" tint="-4.9989318521683403E-2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0.14996795556505021"/>
      </bottom>
      <diagonal/>
    </border>
    <border>
      <left style="thin">
        <color theme="0" tint="-4.9989318521683403E-2"/>
      </left>
      <right style="thin">
        <color theme="0" tint="-0.24994659260841701"/>
      </right>
      <top style="thin">
        <color theme="0" tint="-4.9989318521683403E-2"/>
      </top>
      <bottom style="thin">
        <color theme="0" tint="-0.1499679555650502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205">
    <xf numFmtId="0" fontId="0" fillId="0" borderId="0" xfId="0"/>
    <xf numFmtId="14" fontId="0" fillId="0" borderId="0" xfId="0" applyNumberFormat="1"/>
    <xf numFmtId="9" fontId="0" fillId="0" borderId="0" xfId="2" applyFont="1"/>
    <xf numFmtId="0" fontId="0" fillId="0" borderId="1" xfId="0" applyBorder="1"/>
    <xf numFmtId="0" fontId="0" fillId="0" borderId="0" xfId="0" applyBorder="1"/>
    <xf numFmtId="14" fontId="0" fillId="0" borderId="0" xfId="0" applyNumberFormat="1" applyBorder="1" applyAlignment="1">
      <alignment horizontal="left"/>
    </xf>
    <xf numFmtId="9" fontId="0" fillId="0" borderId="0" xfId="2" applyFont="1" applyBorder="1"/>
    <xf numFmtId="0" fontId="2" fillId="0" borderId="0" xfId="0" applyFont="1" applyFill="1" applyBorder="1"/>
    <xf numFmtId="0" fontId="0" fillId="0" borderId="0" xfId="0" applyAlignment="1">
      <alignment horizontal="left"/>
    </xf>
    <xf numFmtId="164" fontId="0" fillId="0" borderId="0" xfId="1" applyFont="1"/>
    <xf numFmtId="0" fontId="0" fillId="0" borderId="0" xfId="0" applyAlignment="1">
      <alignment horizontal="right"/>
    </xf>
    <xf numFmtId="0" fontId="4" fillId="0" borderId="0" xfId="0" applyFont="1"/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2" applyNumberFormat="1" applyFont="1" applyBorder="1"/>
    <xf numFmtId="0" fontId="0" fillId="0" borderId="1" xfId="0" applyNumberFormat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right"/>
    </xf>
    <xf numFmtId="9" fontId="0" fillId="0" borderId="1" xfId="2" applyFont="1" applyBorder="1" applyAlignment="1">
      <alignment horizontal="center"/>
    </xf>
    <xf numFmtId="0" fontId="6" fillId="0" borderId="0" xfId="0" applyFont="1"/>
    <xf numFmtId="0" fontId="0" fillId="0" borderId="1" xfId="2" applyNumberFormat="1" applyFont="1" applyBorder="1" applyAlignment="1">
      <alignment horizontal="center"/>
    </xf>
    <xf numFmtId="0" fontId="7" fillId="0" borderId="0" xfId="0" applyFont="1"/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2" xfId="0" applyBorder="1"/>
    <xf numFmtId="0" fontId="2" fillId="0" borderId="0" xfId="0" applyFont="1"/>
    <xf numFmtId="0" fontId="2" fillId="4" borderId="2" xfId="0" applyFont="1" applyFill="1" applyBorder="1"/>
    <xf numFmtId="9" fontId="0" fillId="0" borderId="2" xfId="2" applyFont="1" applyBorder="1"/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6" xfId="0" applyBorder="1"/>
    <xf numFmtId="9" fontId="5" fillId="0" borderId="0" xfId="0" applyNumberFormat="1" applyFont="1" applyBorder="1" applyAlignment="1">
      <alignment horizontal="left"/>
    </xf>
    <xf numFmtId="9" fontId="14" fillId="0" borderId="0" xfId="0" applyNumberFormat="1" applyFont="1" applyBorder="1" applyAlignment="1">
      <alignment horizontal="left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left"/>
    </xf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9" fontId="5" fillId="0" borderId="0" xfId="0" applyNumberFormat="1" applyFont="1" applyFill="1" applyBorder="1" applyAlignment="1">
      <alignment horizontal="left"/>
    </xf>
    <xf numFmtId="9" fontId="14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8" xfId="0" applyFill="1" applyBorder="1"/>
    <xf numFmtId="0" fontId="0" fillId="0" borderId="9" xfId="0" applyFill="1" applyBorder="1"/>
    <xf numFmtId="0" fontId="0" fillId="0" borderId="9" xfId="0" applyFill="1" applyBorder="1" applyAlignment="1">
      <alignment horizontal="left"/>
    </xf>
    <xf numFmtId="0" fontId="15" fillId="0" borderId="4" xfId="0" applyFont="1" applyFill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0" fillId="0" borderId="5" xfId="0" applyBorder="1"/>
    <xf numFmtId="0" fontId="0" fillId="0" borderId="7" xfId="0" applyBorder="1"/>
    <xf numFmtId="0" fontId="0" fillId="0" borderId="10" xfId="0" applyBorder="1"/>
    <xf numFmtId="0" fontId="0" fillId="0" borderId="2" xfId="0" applyBorder="1" applyAlignment="1">
      <alignment horizontal="left"/>
    </xf>
    <xf numFmtId="0" fontId="0" fillId="0" borderId="11" xfId="0" applyBorder="1"/>
    <xf numFmtId="14" fontId="0" fillId="0" borderId="2" xfId="0" applyNumberFormat="1" applyBorder="1"/>
    <xf numFmtId="0" fontId="4" fillId="0" borderId="12" xfId="0" applyFont="1" applyBorder="1"/>
    <xf numFmtId="0" fontId="4" fillId="0" borderId="13" xfId="0" applyFont="1" applyBorder="1" applyAlignment="1">
      <alignment horizontal="center"/>
    </xf>
    <xf numFmtId="9" fontId="4" fillId="0" borderId="13" xfId="2" applyFont="1" applyBorder="1" applyAlignment="1">
      <alignment horizontal="left" indent="1"/>
    </xf>
    <xf numFmtId="0" fontId="4" fillId="0" borderId="13" xfId="0" applyFont="1" applyBorder="1"/>
    <xf numFmtId="0" fontId="4" fillId="5" borderId="12" xfId="0" applyFont="1" applyFill="1" applyBorder="1"/>
    <xf numFmtId="0" fontId="4" fillId="5" borderId="13" xfId="0" applyFont="1" applyFill="1" applyBorder="1" applyAlignment="1">
      <alignment horizontal="center"/>
    </xf>
    <xf numFmtId="9" fontId="4" fillId="5" borderId="13" xfId="2" applyFont="1" applyFill="1" applyBorder="1" applyAlignment="1">
      <alignment horizontal="left" indent="1"/>
    </xf>
    <xf numFmtId="0" fontId="4" fillId="5" borderId="13" xfId="0" applyFont="1" applyFill="1" applyBorder="1"/>
    <xf numFmtId="0" fontId="2" fillId="6" borderId="12" xfId="0" applyFont="1" applyFill="1" applyBorder="1"/>
    <xf numFmtId="0" fontId="2" fillId="6" borderId="13" xfId="0" applyFont="1" applyFill="1" applyBorder="1"/>
    <xf numFmtId="0" fontId="0" fillId="0" borderId="14" xfId="0" applyBorder="1"/>
    <xf numFmtId="0" fontId="0" fillId="0" borderId="15" xfId="0" applyBorder="1"/>
    <xf numFmtId="14" fontId="0" fillId="0" borderId="15" xfId="0" applyNumberFormat="1" applyBorder="1" applyAlignment="1">
      <alignment horizontal="left"/>
    </xf>
    <xf numFmtId="15" fontId="0" fillId="0" borderId="0" xfId="0" applyNumberFormat="1" applyAlignment="1">
      <alignment horizontal="left"/>
    </xf>
    <xf numFmtId="0" fontId="0" fillId="0" borderId="16" xfId="0" applyBorder="1"/>
    <xf numFmtId="9" fontId="0" fillId="0" borderId="16" xfId="0" applyNumberFormat="1" applyBorder="1"/>
    <xf numFmtId="0" fontId="17" fillId="7" borderId="17" xfId="0" applyFont="1" applyFill="1" applyBorder="1"/>
    <xf numFmtId="0" fontId="17" fillId="7" borderId="18" xfId="0" applyFont="1" applyFill="1" applyBorder="1"/>
    <xf numFmtId="0" fontId="17" fillId="7" borderId="18" xfId="0" applyFont="1" applyFill="1" applyBorder="1" applyAlignment="1">
      <alignment horizontal="center"/>
    </xf>
    <xf numFmtId="0" fontId="17" fillId="7" borderId="19" xfId="0" applyFont="1" applyFill="1" applyBorder="1"/>
    <xf numFmtId="0" fontId="0" fillId="0" borderId="16" xfId="0" applyBorder="1" applyAlignment="1">
      <alignment horizontal="right" indent="1"/>
    </xf>
    <xf numFmtId="0" fontId="4" fillId="0" borderId="16" xfId="0" applyFont="1" applyBorder="1"/>
    <xf numFmtId="0" fontId="0" fillId="0" borderId="20" xfId="0" applyBorder="1" applyAlignment="1">
      <alignment horizontal="right" indent="1"/>
    </xf>
    <xf numFmtId="0" fontId="17" fillId="7" borderId="16" xfId="0" applyFont="1" applyFill="1" applyBorder="1"/>
    <xf numFmtId="0" fontId="17" fillId="7" borderId="16" xfId="0" applyFont="1" applyFill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16" xfId="0" applyBorder="1" applyAlignment="1">
      <alignment horizontal="center"/>
    </xf>
    <xf numFmtId="0" fontId="2" fillId="2" borderId="16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center"/>
    </xf>
    <xf numFmtId="0" fontId="8" fillId="0" borderId="16" xfId="0" applyFont="1" applyBorder="1" applyAlignment="1">
      <alignment horizontal="left" indent="1"/>
    </xf>
    <xf numFmtId="0" fontId="4" fillId="0" borderId="0" xfId="0" applyFont="1" applyFill="1" applyBorder="1" applyAlignment="1">
      <alignment vertical="top" wrapText="1"/>
    </xf>
    <xf numFmtId="0" fontId="19" fillId="0" borderId="0" xfId="0" applyFont="1" applyBorder="1"/>
    <xf numFmtId="0" fontId="20" fillId="0" borderId="0" xfId="0" applyFont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9" fontId="0" fillId="0" borderId="16" xfId="2" applyFont="1" applyBorder="1"/>
    <xf numFmtId="167" fontId="0" fillId="0" borderId="16" xfId="0" applyNumberFormat="1" applyBorder="1"/>
    <xf numFmtId="0" fontId="2" fillId="0" borderId="16" xfId="0" applyFont="1" applyBorder="1"/>
    <xf numFmtId="0" fontId="2" fillId="2" borderId="16" xfId="0" applyFont="1" applyFill="1" applyBorder="1"/>
    <xf numFmtId="0" fontId="2" fillId="2" borderId="16" xfId="0" applyFont="1" applyFill="1" applyBorder="1" applyAlignment="1">
      <alignment horizontal="right"/>
    </xf>
    <xf numFmtId="0" fontId="0" fillId="0" borderId="23" xfId="0" applyBorder="1"/>
    <xf numFmtId="14" fontId="0" fillId="0" borderId="16" xfId="0" applyNumberFormat="1" applyFill="1" applyBorder="1"/>
    <xf numFmtId="0" fontId="2" fillId="6" borderId="12" xfId="0" applyFont="1" applyFill="1" applyBorder="1" applyAlignment="1">
      <alignment horizontal="left"/>
    </xf>
    <xf numFmtId="14" fontId="4" fillId="0" borderId="12" xfId="0" applyNumberFormat="1" applyFont="1" applyBorder="1" applyAlignment="1">
      <alignment horizontal="left"/>
    </xf>
    <xf numFmtId="14" fontId="4" fillId="5" borderId="12" xfId="0" applyNumberFormat="1" applyFont="1" applyFill="1" applyBorder="1" applyAlignment="1">
      <alignment horizontal="left"/>
    </xf>
    <xf numFmtId="14" fontId="21" fillId="0" borderId="0" xfId="0" applyNumberFormat="1" applyFont="1" applyAlignment="1">
      <alignment vertical="top"/>
    </xf>
    <xf numFmtId="0" fontId="16" fillId="6" borderId="24" xfId="0" applyFont="1" applyFill="1" applyBorder="1" applyAlignment="1">
      <alignment vertical="center"/>
    </xf>
    <xf numFmtId="0" fontId="16" fillId="6" borderId="25" xfId="0" applyFont="1" applyFill="1" applyBorder="1" applyAlignment="1">
      <alignment vertical="center"/>
    </xf>
    <xf numFmtId="0" fontId="16" fillId="6" borderId="26" xfId="0" applyFont="1" applyFill="1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5" borderId="29" xfId="0" applyFill="1" applyBorder="1" applyAlignment="1">
      <alignment vertical="center"/>
    </xf>
    <xf numFmtId="0" fontId="0" fillId="5" borderId="30" xfId="0" applyFill="1" applyBorder="1" applyAlignment="1">
      <alignment vertical="center"/>
    </xf>
    <xf numFmtId="0" fontId="0" fillId="5" borderId="31" xfId="0" applyFill="1" applyBorder="1" applyAlignment="1">
      <alignment vertical="center"/>
    </xf>
    <xf numFmtId="0" fontId="22" fillId="6" borderId="32" xfId="0" applyFont="1" applyFill="1" applyBorder="1" applyAlignment="1">
      <alignment horizontal="left" vertical="center" shrinkToFit="1"/>
    </xf>
    <xf numFmtId="0" fontId="22" fillId="6" borderId="33" xfId="0" applyFont="1" applyFill="1" applyBorder="1" applyAlignment="1">
      <alignment horizontal="left" vertical="center" shrinkToFit="1"/>
    </xf>
    <xf numFmtId="0" fontId="22" fillId="6" borderId="34" xfId="0" applyFont="1" applyFill="1" applyBorder="1" applyAlignment="1">
      <alignment horizontal="left" vertical="center" shrinkToFit="1"/>
    </xf>
    <xf numFmtId="0" fontId="0" fillId="0" borderId="35" xfId="0" applyBorder="1"/>
    <xf numFmtId="0" fontId="0" fillId="0" borderId="36" xfId="0" applyBorder="1"/>
    <xf numFmtId="0" fontId="0" fillId="5" borderId="37" xfId="0" applyFill="1" applyBorder="1"/>
    <xf numFmtId="0" fontId="0" fillId="5" borderId="27" xfId="0" applyFill="1" applyBorder="1"/>
    <xf numFmtId="0" fontId="0" fillId="5" borderId="38" xfId="0" applyFill="1" applyBorder="1"/>
    <xf numFmtId="168" fontId="16" fillId="6" borderId="39" xfId="0" applyNumberFormat="1" applyFont="1" applyFill="1" applyBorder="1" applyAlignment="1">
      <alignment horizontal="center"/>
    </xf>
    <xf numFmtId="168" fontId="16" fillId="6" borderId="28" xfId="0" applyNumberFormat="1" applyFont="1" applyFill="1" applyBorder="1" applyAlignment="1">
      <alignment horizontal="center"/>
    </xf>
    <xf numFmtId="168" fontId="16" fillId="6" borderId="40" xfId="0" applyNumberFormat="1" applyFont="1" applyFill="1" applyBorder="1" applyAlignment="1">
      <alignment horizontal="center"/>
    </xf>
    <xf numFmtId="0" fontId="0" fillId="0" borderId="41" xfId="0" applyBorder="1"/>
    <xf numFmtId="0" fontId="0" fillId="0" borderId="30" xfId="0" applyBorder="1"/>
    <xf numFmtId="0" fontId="0" fillId="0" borderId="42" xfId="0" applyBorder="1"/>
    <xf numFmtId="0" fontId="0" fillId="5" borderId="41" xfId="0" applyFill="1" applyBorder="1"/>
    <xf numFmtId="0" fontId="0" fillId="5" borderId="30" xfId="0" applyFill="1" applyBorder="1"/>
    <xf numFmtId="0" fontId="0" fillId="5" borderId="42" xfId="0" applyFill="1" applyBorder="1"/>
    <xf numFmtId="0" fontId="4" fillId="0" borderId="0" xfId="0" applyFont="1" applyAlignment="1">
      <alignment vertical="top"/>
    </xf>
    <xf numFmtId="0" fontId="0" fillId="0" borderId="43" xfId="0" applyBorder="1"/>
    <xf numFmtId="0" fontId="0" fillId="0" borderId="44" xfId="0" applyBorder="1"/>
    <xf numFmtId="0" fontId="0" fillId="0" borderId="45" xfId="0" applyFill="1" applyBorder="1"/>
    <xf numFmtId="0" fontId="2" fillId="4" borderId="16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6" borderId="16" xfId="0" applyFill="1" applyBorder="1"/>
    <xf numFmtId="0" fontId="0" fillId="6" borderId="46" xfId="0" applyFill="1" applyBorder="1"/>
    <xf numFmtId="9" fontId="0" fillId="0" borderId="46" xfId="0" applyNumberFormat="1" applyBorder="1"/>
    <xf numFmtId="0" fontId="2" fillId="2" borderId="20" xfId="0" applyFont="1" applyFill="1" applyBorder="1" applyAlignment="1">
      <alignment vertical="top"/>
    </xf>
    <xf numFmtId="0" fontId="2" fillId="2" borderId="22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0" borderId="46" xfId="0" applyBorder="1" applyAlignment="1">
      <alignment horizontal="left"/>
    </xf>
    <xf numFmtId="0" fontId="25" fillId="0" borderId="16" xfId="3" applyBorder="1" applyAlignment="1">
      <alignment horizontal="left"/>
    </xf>
    <xf numFmtId="14" fontId="0" fillId="0" borderId="16" xfId="0" applyNumberFormat="1" applyBorder="1" applyAlignment="1">
      <alignment horizontal="left"/>
    </xf>
    <xf numFmtId="0" fontId="24" fillId="0" borderId="0" xfId="0" applyFont="1" applyAlignment="1">
      <alignment horizontal="center" vertical="center"/>
    </xf>
    <xf numFmtId="0" fontId="25" fillId="0" borderId="2" xfId="3" applyBorder="1"/>
    <xf numFmtId="0" fontId="4" fillId="0" borderId="16" xfId="0" applyFont="1" applyBorder="1" applyAlignment="1">
      <alignment vertical="top"/>
    </xf>
    <xf numFmtId="0" fontId="0" fillId="0" borderId="0" xfId="0" applyFill="1"/>
    <xf numFmtId="0" fontId="23" fillId="0" borderId="0" xfId="0" applyFont="1" applyFill="1" applyAlignment="1">
      <alignment vertical="center"/>
    </xf>
    <xf numFmtId="0" fontId="26" fillId="0" borderId="22" xfId="3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29" fillId="0" borderId="27" xfId="0" applyFont="1" applyBorder="1" applyAlignment="1">
      <alignment horizontal="left" vertical="center" indent="1"/>
    </xf>
    <xf numFmtId="0" fontId="2" fillId="0" borderId="0" xfId="0" applyFont="1" applyAlignment="1">
      <alignment vertical="center"/>
    </xf>
    <xf numFmtId="0" fontId="30" fillId="0" borderId="27" xfId="0" applyFont="1" applyBorder="1" applyAlignment="1">
      <alignment horizontal="center" vertical="center"/>
    </xf>
    <xf numFmtId="0" fontId="31" fillId="0" borderId="0" xfId="3" applyFont="1" applyAlignment="1">
      <alignment horizontal="right"/>
    </xf>
    <xf numFmtId="165" fontId="16" fillId="6" borderId="47" xfId="0" applyNumberFormat="1" applyFont="1" applyFill="1" applyBorder="1" applyAlignment="1">
      <alignment horizontal="left" vertical="center"/>
    </xf>
    <xf numFmtId="165" fontId="16" fillId="6" borderId="48" xfId="0" applyNumberFormat="1" applyFont="1" applyFill="1" applyBorder="1" applyAlignment="1">
      <alignment horizontal="left" vertical="center"/>
    </xf>
    <xf numFmtId="165" fontId="16" fillId="6" borderId="49" xfId="0" applyNumberFormat="1" applyFont="1" applyFill="1" applyBorder="1" applyAlignment="1">
      <alignment horizontal="left" vertical="center"/>
    </xf>
    <xf numFmtId="0" fontId="28" fillId="8" borderId="0" xfId="0" applyFont="1" applyFill="1"/>
    <xf numFmtId="0" fontId="32" fillId="8" borderId="0" xfId="0" applyFont="1" applyFill="1"/>
    <xf numFmtId="0" fontId="28" fillId="9" borderId="0" xfId="0" applyFont="1" applyFill="1" applyAlignment="1">
      <alignment vertical="center"/>
    </xf>
    <xf numFmtId="0" fontId="27" fillId="9" borderId="0" xfId="0" applyFont="1" applyFill="1" applyAlignment="1">
      <alignment vertical="center"/>
    </xf>
    <xf numFmtId="9" fontId="0" fillId="0" borderId="22" xfId="2" applyFont="1" applyBorder="1"/>
    <xf numFmtId="0" fontId="4" fillId="0" borderId="16" xfId="0" applyFont="1" applyFill="1" applyBorder="1" applyAlignment="1">
      <alignment wrapText="1"/>
    </xf>
    <xf numFmtId="0" fontId="6" fillId="0" borderId="16" xfId="0" applyFont="1" applyBorder="1"/>
    <xf numFmtId="0" fontId="25" fillId="0" borderId="16" xfId="3" applyBorder="1"/>
    <xf numFmtId="0" fontId="30" fillId="0" borderId="0" xfId="0" applyFont="1" applyAlignment="1">
      <alignment horizontal="left"/>
    </xf>
    <xf numFmtId="0" fontId="30" fillId="0" borderId="0" xfId="0" applyFont="1"/>
    <xf numFmtId="0" fontId="28" fillId="8" borderId="0" xfId="0" applyFont="1" applyFill="1" applyAlignment="1">
      <alignment vertical="center"/>
    </xf>
    <xf numFmtId="0" fontId="23" fillId="8" borderId="0" xfId="0" applyFont="1" applyFill="1" applyAlignment="1">
      <alignment vertical="center"/>
    </xf>
    <xf numFmtId="0" fontId="35" fillId="8" borderId="0" xfId="0" applyFont="1" applyFill="1" applyAlignment="1">
      <alignment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left" vertical="top" wrapText="1"/>
    </xf>
    <xf numFmtId="0" fontId="2" fillId="2" borderId="22" xfId="0" applyFont="1" applyFill="1" applyBorder="1" applyAlignment="1">
      <alignment horizontal="left" vertical="top" wrapText="1"/>
    </xf>
    <xf numFmtId="0" fontId="2" fillId="2" borderId="20" xfId="0" applyFont="1" applyFill="1" applyBorder="1" applyAlignment="1">
      <alignment horizontal="left" vertical="top"/>
    </xf>
    <xf numFmtId="0" fontId="2" fillId="2" borderId="22" xfId="0" applyFont="1" applyFill="1" applyBorder="1" applyAlignment="1">
      <alignment horizontal="left" vertical="top"/>
    </xf>
    <xf numFmtId="0" fontId="0" fillId="0" borderId="16" xfId="0" applyBorder="1" applyAlignment="1">
      <alignment horizontal="center" wrapText="1"/>
    </xf>
    <xf numFmtId="0" fontId="0" fillId="0" borderId="16" xfId="0" applyBorder="1" applyAlignment="1">
      <alignment horizontal="left" wrapText="1"/>
    </xf>
    <xf numFmtId="166" fontId="4" fillId="6" borderId="27" xfId="0" applyNumberFormat="1" applyFont="1" applyFill="1" applyBorder="1" applyAlignment="1">
      <alignment horizontal="left"/>
    </xf>
    <xf numFmtId="165" fontId="4" fillId="6" borderId="0" xfId="0" applyNumberFormat="1" applyFont="1" applyFill="1" applyAlignment="1">
      <alignment horizontal="left"/>
    </xf>
    <xf numFmtId="165" fontId="4" fillId="6" borderId="35" xfId="0" applyNumberFormat="1" applyFont="1" applyFill="1" applyBorder="1" applyAlignment="1">
      <alignment horizontal="left"/>
    </xf>
    <xf numFmtId="165" fontId="4" fillId="6" borderId="0" xfId="0" applyNumberFormat="1" applyFont="1" applyFill="1" applyBorder="1" applyAlignment="1">
      <alignment horizontal="left"/>
    </xf>
    <xf numFmtId="165" fontId="4" fillId="6" borderId="36" xfId="0" applyNumberFormat="1" applyFont="1" applyFill="1" applyBorder="1" applyAlignment="1">
      <alignment horizontal="left"/>
    </xf>
    <xf numFmtId="166" fontId="4" fillId="6" borderId="38" xfId="0" applyNumberFormat="1" applyFont="1" applyFill="1" applyBorder="1" applyAlignment="1">
      <alignment horizontal="left"/>
    </xf>
    <xf numFmtId="169" fontId="16" fillId="6" borderId="37" xfId="0" applyNumberFormat="1" applyFont="1" applyFill="1" applyBorder="1" applyAlignment="1">
      <alignment horizontal="left"/>
    </xf>
    <xf numFmtId="169" fontId="16" fillId="6" borderId="27" xfId="0" applyNumberFormat="1" applyFont="1" applyFill="1" applyBorder="1" applyAlignment="1">
      <alignment horizontal="left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94">
    <dxf>
      <fill>
        <patternFill>
          <bgColor theme="5" tint="0.79998168889431442"/>
        </patternFill>
      </fill>
    </dxf>
    <dxf>
      <border>
        <left style="thin">
          <color theme="0" tint="-0.14996795556505021"/>
        </lef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79998168889431442"/>
        </patternFill>
      </fill>
      <border>
        <left style="thin">
          <color theme="5" tint="-0.24994659260841701"/>
        </left>
        <right style="thin">
          <color theme="5" tint="-0.24994659260841701"/>
        </right>
        <vertical/>
        <horizontal/>
      </border>
    </dxf>
    <dxf>
      <border>
        <left style="thin">
          <color theme="0" tint="-0.24994659260841701"/>
        </left>
        <vertical/>
        <horizontal/>
      </border>
    </dxf>
    <dxf>
      <fill>
        <patternFill>
          <bgColor theme="5" tint="0.79998168889431442"/>
        </patternFill>
      </fill>
      <border>
        <left style="thin">
          <color theme="5"/>
        </left>
        <right style="thin">
          <color theme="5"/>
        </right>
        <vertical/>
        <horizontal/>
      </border>
    </dxf>
    <dxf>
      <fill>
        <patternFill>
          <bgColor theme="3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  <border>
        <left style="thin">
          <color theme="5" tint="-0.24994659260841701"/>
        </left>
        <right style="thin">
          <color theme="5" tint="-0.24994659260841701"/>
        </right>
      </border>
    </dxf>
    <dxf>
      <border>
        <left style="thin">
          <color theme="0" tint="-0.24994659260841701"/>
        </left>
        <vertical/>
        <horizontal/>
      </border>
    </dxf>
    <dxf>
      <fill>
        <patternFill>
          <bgColor theme="3" tint="0.59996337778862885"/>
        </patternFill>
      </fill>
    </dxf>
    <dxf>
      <numFmt numFmtId="170" formatCode="d\-mmm\-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numFmt numFmtId="171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numFmt numFmtId="171" formatCode="m/d/yy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Franklin Gothic Book"/>
        <scheme val="minor"/>
      </font>
    </dxf>
    <dxf>
      <numFmt numFmtId="0" formatCode="General"/>
    </dxf>
    <dxf>
      <numFmt numFmtId="0" formatCode="General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border>
        <right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border>
        <right/>
        <vertical/>
        <horizontal/>
      </border>
    </dxf>
    <dxf>
      <fill>
        <patternFill patternType="lightGrid">
          <fgColor theme="0" tint="-4.9989318521683403E-2"/>
          <bgColor theme="0"/>
        </patternFill>
      </fill>
    </dxf>
    <dxf>
      <fill>
        <patternFill patternType="lightGrid">
          <fgColor theme="0" tint="-4.9989318521683403E-2"/>
          <bgColor theme="0"/>
        </patternFill>
      </fill>
    </dxf>
    <dxf>
      <fill>
        <patternFill patternType="lightGrid">
          <fgColor theme="0" tint="-4.9989318521683403E-2"/>
          <bgColor theme="0"/>
        </patternFill>
      </fill>
    </dxf>
    <dxf>
      <fill>
        <patternFill patternType="lightGrid">
          <fgColor theme="0" tint="-4.9989318521683403E-2"/>
          <bgColor theme="0"/>
        </patternFill>
      </fill>
    </dxf>
    <dxf>
      <border>
        <right/>
        <vertical/>
        <horizontal/>
      </border>
    </dxf>
    <dxf>
      <fill>
        <patternFill patternType="lightGrid">
          <fgColor theme="0" tint="-4.9989318521683403E-2"/>
          <bgColor theme="0"/>
        </patternFill>
      </fill>
      <border>
        <vertical/>
        <horizontal/>
      </border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Calculations!$E$8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Calculations!$AD$9</c:f>
              <c:numCache>
                <c:formatCode>0%</c:formatCode>
                <c:ptCount val="1"/>
                <c:pt idx="0">
                  <c:v>0.81179752066115707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8-4BE2-A951-03D81E8456A3}"/>
            </c:ext>
          </c:extLst>
        </c:ser>
        <c:ser>
          <c:idx val="0"/>
          <c:order val="1"/>
          <c:tx>
            <c:strRef>
              <c:f>Calculations!$D$8</c:f>
              <c:strCache>
                <c:ptCount val="1"/>
                <c:pt idx="0">
                  <c:v>Budget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8-4BE2-A951-03D81E845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6119808"/>
        <c:axId val="694983424"/>
      </c:barChart>
      <c:catAx>
        <c:axId val="696119808"/>
        <c:scaling>
          <c:orientation val="minMax"/>
        </c:scaling>
        <c:delete val="1"/>
        <c:axPos val="l"/>
        <c:majorTickMark val="out"/>
        <c:minorTickMark val="none"/>
        <c:tickLblPos val="nextTo"/>
        <c:crossAx val="694983424"/>
        <c:crosses val="autoZero"/>
        <c:auto val="1"/>
        <c:lblAlgn val="ctr"/>
        <c:lblOffset val="100"/>
        <c:noMultiLvlLbl val="0"/>
      </c:catAx>
      <c:valAx>
        <c:axId val="694983424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6961198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Calculations!$E$8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Calculations!$AD$10</c:f>
              <c:numCache>
                <c:formatCode>0%</c:formatCode>
                <c:ptCount val="1"/>
                <c:pt idx="0">
                  <c:v>0.79814921465968591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6-4D15-BF56-A0F5A750B248}"/>
            </c:ext>
          </c:extLst>
        </c:ser>
        <c:ser>
          <c:idx val="0"/>
          <c:order val="1"/>
          <c:tx>
            <c:strRef>
              <c:f>Calculations!$D$8</c:f>
              <c:strCache>
                <c:ptCount val="1"/>
                <c:pt idx="0">
                  <c:v>Budget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6-4D15-BF56-A0F5A750B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6120832"/>
        <c:axId val="696033856"/>
      </c:barChart>
      <c:catAx>
        <c:axId val="696120832"/>
        <c:scaling>
          <c:orientation val="minMax"/>
        </c:scaling>
        <c:delete val="1"/>
        <c:axPos val="l"/>
        <c:majorTickMark val="out"/>
        <c:minorTickMark val="none"/>
        <c:tickLblPos val="nextTo"/>
        <c:crossAx val="696033856"/>
        <c:crosses val="autoZero"/>
        <c:auto val="1"/>
        <c:lblAlgn val="ctr"/>
        <c:lblOffset val="100"/>
        <c:noMultiLvlLbl val="0"/>
      </c:catAx>
      <c:valAx>
        <c:axId val="696033856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6961208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Calculations!$E$8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Calculations!$AD$11</c:f>
              <c:numCache>
                <c:formatCode>0%</c:formatCode>
                <c:ptCount val="1"/>
                <c:pt idx="0">
                  <c:v>0.58918302387267907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F9-47DA-A2C1-F61445E3FD6B}"/>
            </c:ext>
          </c:extLst>
        </c:ser>
        <c:ser>
          <c:idx val="0"/>
          <c:order val="1"/>
          <c:tx>
            <c:strRef>
              <c:f>Calculations!$D$8</c:f>
              <c:strCache>
                <c:ptCount val="1"/>
                <c:pt idx="0">
                  <c:v>Budget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F9-47DA-A2C1-F61445E3F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6121344"/>
        <c:axId val="696035584"/>
      </c:barChart>
      <c:catAx>
        <c:axId val="696121344"/>
        <c:scaling>
          <c:orientation val="minMax"/>
        </c:scaling>
        <c:delete val="1"/>
        <c:axPos val="l"/>
        <c:majorTickMark val="out"/>
        <c:minorTickMark val="none"/>
        <c:tickLblPos val="nextTo"/>
        <c:crossAx val="696035584"/>
        <c:crosses val="autoZero"/>
        <c:auto val="1"/>
        <c:lblAlgn val="ctr"/>
        <c:lblOffset val="100"/>
        <c:noMultiLvlLbl val="0"/>
      </c:catAx>
      <c:valAx>
        <c:axId val="696035584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6961213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Calculations!$E$8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Calculations!$AD$12</c:f>
              <c:numCache>
                <c:formatCode>0%</c:formatCode>
                <c:ptCount val="1"/>
                <c:pt idx="0">
                  <c:v>0.90896938775510205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5-4366-B61C-9365D02FDF03}"/>
            </c:ext>
          </c:extLst>
        </c:ser>
        <c:ser>
          <c:idx val="0"/>
          <c:order val="1"/>
          <c:tx>
            <c:strRef>
              <c:f>Calculations!$D$8</c:f>
              <c:strCache>
                <c:ptCount val="1"/>
                <c:pt idx="0">
                  <c:v>Budget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55-4366-B61C-9365D02FD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6121856"/>
        <c:axId val="696037312"/>
      </c:barChart>
      <c:catAx>
        <c:axId val="696121856"/>
        <c:scaling>
          <c:orientation val="minMax"/>
        </c:scaling>
        <c:delete val="1"/>
        <c:axPos val="l"/>
        <c:majorTickMark val="out"/>
        <c:minorTickMark val="none"/>
        <c:tickLblPos val="nextTo"/>
        <c:crossAx val="696037312"/>
        <c:crosses val="autoZero"/>
        <c:auto val="1"/>
        <c:lblAlgn val="ctr"/>
        <c:lblOffset val="100"/>
        <c:noMultiLvlLbl val="0"/>
      </c:catAx>
      <c:valAx>
        <c:axId val="696037312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6961218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Calculations!$E$8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Calculations!$AD$13</c:f>
              <c:numCache>
                <c:formatCode>0%</c:formatCode>
                <c:ptCount val="1"/>
                <c:pt idx="0">
                  <c:v>0.72801123595505624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D-489D-B3F4-597D84FBD879}"/>
            </c:ext>
          </c:extLst>
        </c:ser>
        <c:ser>
          <c:idx val="0"/>
          <c:order val="1"/>
          <c:tx>
            <c:strRef>
              <c:f>Calculations!$D$8</c:f>
              <c:strCache>
                <c:ptCount val="1"/>
                <c:pt idx="0">
                  <c:v>Budget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7D-489D-B3F4-597D84FBD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6122368"/>
        <c:axId val="696039040"/>
      </c:barChart>
      <c:catAx>
        <c:axId val="696122368"/>
        <c:scaling>
          <c:orientation val="minMax"/>
        </c:scaling>
        <c:delete val="1"/>
        <c:axPos val="l"/>
        <c:majorTickMark val="out"/>
        <c:minorTickMark val="none"/>
        <c:tickLblPos val="nextTo"/>
        <c:crossAx val="696039040"/>
        <c:crosses val="autoZero"/>
        <c:auto val="1"/>
        <c:lblAlgn val="ctr"/>
        <c:lblOffset val="100"/>
        <c:noMultiLvlLbl val="0"/>
      </c:catAx>
      <c:valAx>
        <c:axId val="696039040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696122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793650793650794E-2"/>
          <c:y val="0.15238049529660203"/>
          <c:w val="0.89841269841269844"/>
          <c:h val="0.6857722211556920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Calculations!$I$4</c:f>
              <c:strCache>
                <c:ptCount val="1"/>
                <c:pt idx="0">
                  <c:v>Total Spent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val>
            <c:numRef>
              <c:f>Calculations!$J$5</c:f>
              <c:numCache>
                <c:formatCode>0%</c:formatCode>
                <c:ptCount val="1"/>
                <c:pt idx="0">
                  <c:v>0.75136046149048952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2-407C-BDA6-CFB966D80DBF}"/>
            </c:ext>
          </c:extLst>
        </c:ser>
        <c:ser>
          <c:idx val="0"/>
          <c:order val="1"/>
          <c:tx>
            <c:strRef>
              <c:f>Calculations!$I$3</c:f>
              <c:strCache>
                <c:ptCount val="1"/>
                <c:pt idx="0">
                  <c:v>Total Budgets</c:v>
                </c:pt>
              </c:strCache>
            </c:strRef>
          </c:tx>
          <c:spPr>
            <a:noFill/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val>
            <c:numRef>
              <c:f>Calculations!$AC$9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62-407C-BDA6-CFB966D80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1136896"/>
        <c:axId val="701645376"/>
      </c:barChart>
      <c:catAx>
        <c:axId val="701136896"/>
        <c:scaling>
          <c:orientation val="minMax"/>
        </c:scaling>
        <c:delete val="1"/>
        <c:axPos val="l"/>
        <c:majorTickMark val="out"/>
        <c:minorTickMark val="none"/>
        <c:tickLblPos val="nextTo"/>
        <c:crossAx val="701645376"/>
        <c:crosses val="autoZero"/>
        <c:auto val="1"/>
        <c:lblAlgn val="ctr"/>
        <c:lblOffset val="100"/>
        <c:noMultiLvlLbl val="0"/>
      </c:catAx>
      <c:valAx>
        <c:axId val="701645376"/>
        <c:scaling>
          <c:orientation val="minMax"/>
          <c:max val="1.25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7011368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Calculations!$E$149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</c:spPr>
          <c:invertIfNegative val="0"/>
          <c:dLbls>
            <c:numFmt formatCode="0;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700">
                    <a:solidFill>
                      <a:schemeClr val="tx1">
                        <a:lumMod val="50000"/>
                        <a:lumOff val="50000"/>
                      </a:schemeClr>
                    </a:solidFill>
                  </a:defRPr>
                </a:pPr>
                <a:endParaRPr lang="en-P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Calculations!$D$150:$D$155</c:f>
              <c:strCache>
                <c:ptCount val="6"/>
                <c:pt idx="0">
                  <c:v>&lt;=15</c:v>
                </c:pt>
                <c:pt idx="1">
                  <c:v>19</c:v>
                </c:pt>
                <c:pt idx="2">
                  <c:v>23</c:v>
                </c:pt>
                <c:pt idx="3">
                  <c:v>27</c:v>
                </c:pt>
                <c:pt idx="4">
                  <c:v>31</c:v>
                </c:pt>
                <c:pt idx="5">
                  <c:v>35</c:v>
                </c:pt>
              </c:strCache>
            </c:strRef>
          </c:cat>
          <c:val>
            <c:numRef>
              <c:f>Calculations!$E$150:$E$155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6-44B6-AD55-BB0BCDF29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01137408"/>
        <c:axId val="701646528"/>
      </c:barChart>
      <c:catAx>
        <c:axId val="701137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 rot="0"/>
          <a:lstStyle/>
          <a:p>
            <a:pPr>
              <a:defRPr sz="7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PK"/>
          </a:p>
        </c:txPr>
        <c:crossAx val="701646528"/>
        <c:crosses val="autoZero"/>
        <c:auto val="1"/>
        <c:lblAlgn val="ctr"/>
        <c:lblOffset val="100"/>
        <c:tickLblSkip val="1"/>
        <c:noMultiLvlLbl val="0"/>
      </c:catAx>
      <c:valAx>
        <c:axId val="70164652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011374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27568922305764"/>
          <c:y val="0"/>
          <c:w val="0.77944862155388472"/>
          <c:h val="0.5429422572178477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Calculations!$V$2:$Z$2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cat>
          <c:val>
            <c:numRef>
              <c:f>Calculations!$V$3:$Z$3</c:f>
              <c:numCache>
                <c:formatCode>0%</c:formatCode>
                <c:ptCount val="5"/>
                <c:pt idx="0">
                  <c:v>0.24</c:v>
                </c:pt>
                <c:pt idx="1">
                  <c:v>0.04</c:v>
                </c:pt>
                <c:pt idx="2">
                  <c:v>0.28000000000000003</c:v>
                </c:pt>
                <c:pt idx="3">
                  <c:v>0.2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8-4FE7-958F-5123D1738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01138432"/>
        <c:axId val="701648256"/>
      </c:barChart>
      <c:catAx>
        <c:axId val="70113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PK"/>
          </a:p>
        </c:txPr>
        <c:crossAx val="701648256"/>
        <c:crosses val="autoZero"/>
        <c:auto val="1"/>
        <c:lblAlgn val="ctr"/>
        <c:lblOffset val="100"/>
        <c:noMultiLvlLbl val="0"/>
      </c:catAx>
      <c:valAx>
        <c:axId val="701648256"/>
        <c:scaling>
          <c:orientation val="minMax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7011384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27568922305764"/>
          <c:y val="0"/>
          <c:w val="0.77944862155388472"/>
          <c:h val="0.542942257217847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cat>
            <c:numRef>
              <c:f>Calculations!$V$2:$Z$2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cat>
          <c:val>
            <c:numRef>
              <c:f>Calculations!$V$4:$Z$4</c:f>
              <c:numCache>
                <c:formatCode>0%</c:formatCode>
                <c:ptCount val="5"/>
                <c:pt idx="0">
                  <c:v>0.13043478260869565</c:v>
                </c:pt>
                <c:pt idx="1">
                  <c:v>0.2608695652173913</c:v>
                </c:pt>
                <c:pt idx="2">
                  <c:v>0.30434782608695654</c:v>
                </c:pt>
                <c:pt idx="3">
                  <c:v>0.17391304347826086</c:v>
                </c:pt>
                <c:pt idx="4">
                  <c:v>0.13043478260869565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0-45B1-875F-81E753821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01138944"/>
        <c:axId val="701649984"/>
      </c:barChart>
      <c:catAx>
        <c:axId val="70113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PK"/>
          </a:p>
        </c:txPr>
        <c:crossAx val="701649984"/>
        <c:crosses val="autoZero"/>
        <c:auto val="1"/>
        <c:lblAlgn val="ctr"/>
        <c:lblOffset val="100"/>
        <c:noMultiLvlLbl val="0"/>
      </c:catAx>
      <c:valAx>
        <c:axId val="701649984"/>
        <c:scaling>
          <c:orientation val="minMax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7011389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Calculations!$D$3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croll" dx="16" fmlaLink="Calculations!$C$25" max="40" page="10" val="0"/>
</file>

<file path=xl/ctrlProps/ctrlProp7.xml><?xml version="1.0" encoding="utf-8"?>
<formControlPr xmlns="http://schemas.microsoft.com/office/spreadsheetml/2009/9/main" objectType="Scroll" dx="16" fmlaLink="Calculations!$I$23" horiz="1" max="90" page="7" val="0"/>
</file>

<file path=xl/ctrlProps/ctrlProp8.xml><?xml version="1.0" encoding="utf-8"?>
<formControlPr xmlns="http://schemas.microsoft.com/office/spreadsheetml/2009/9/main" objectType="Drop" dropLines="6" dropStyle="combo" dx="16" fmlaLink="Sorting!$C$11" fmlaRange="lstSortTypes" noThreeD="1" sel="6" val="0"/>
</file>

<file path=xl/ctrlProps/ctrlProp9.xml><?xml version="1.0" encoding="utf-8"?>
<formControlPr xmlns="http://schemas.microsoft.com/office/spreadsheetml/2009/9/main" objectType="Drop" dropStyle="combo" dx="16" fmlaLink="'Gantt View'!$C$6" fmlaRange="lstGanttViews" noThreeD="1" sel="2" val="0"/>
</file>

<file path=xl/ctrlProps/ctrlProp10.xml><?xml version="1.0" encoding="utf-8"?>
<formControlPr xmlns="http://schemas.microsoft.com/office/spreadsheetml/2009/9/main" objectType="Scroll" dx="16" fmlaLink="Calculations!C5" max="30" page="5" val="0"/>
</file>

<file path=xl/ctrlProps/ctrlProp11.xml><?xml version="1.0" encoding="utf-8"?>
<formControlPr xmlns="http://schemas.microsoft.com/office/spreadsheetml/2009/9/main" objectType="Scroll" dx="16" fmlaLink="Calculations!$I$23" horiz="1" max="90" page="7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Risks &amp; Issues'!A1"/><Relationship Id="rId2" Type="http://schemas.openxmlformats.org/officeDocument/2006/relationships/hyperlink" Target="#'Project Plans'!A1"/><Relationship Id="rId1" Type="http://schemas.openxmlformats.org/officeDocument/2006/relationships/hyperlink" Target="#'Project Details'!A1"/><Relationship Id="rId6" Type="http://schemas.openxmlformats.org/officeDocument/2006/relationships/image" Target="../media/image1.png"/><Relationship Id="rId5" Type="http://schemas.openxmlformats.org/officeDocument/2006/relationships/hyperlink" Target="#Dashboard!A1"/><Relationship Id="rId4" Type="http://schemas.openxmlformats.org/officeDocument/2006/relationships/hyperlink" Target="#Setting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hyperlink" Target="#'Project Plans'!A1"/><Relationship Id="rId18" Type="http://schemas.openxmlformats.org/officeDocument/2006/relationships/chart" Target="../charts/chart8.xml"/><Relationship Id="rId3" Type="http://schemas.openxmlformats.org/officeDocument/2006/relationships/image" Target="../media/image4.emf"/><Relationship Id="rId21" Type="http://schemas.openxmlformats.org/officeDocument/2006/relationships/hyperlink" Target="#Settings!A1"/><Relationship Id="rId7" Type="http://schemas.openxmlformats.org/officeDocument/2006/relationships/chart" Target="../charts/chart2.xml"/><Relationship Id="rId12" Type="http://schemas.openxmlformats.org/officeDocument/2006/relationships/hyperlink" Target="#'Risks &amp; Issues'!B4"/><Relationship Id="rId17" Type="http://schemas.openxmlformats.org/officeDocument/2006/relationships/image" Target="../media/image8.emf"/><Relationship Id="rId2" Type="http://schemas.openxmlformats.org/officeDocument/2006/relationships/image" Target="../media/image3.emf"/><Relationship Id="rId16" Type="http://schemas.openxmlformats.org/officeDocument/2006/relationships/image" Target="../media/image7.emf"/><Relationship Id="rId20" Type="http://schemas.openxmlformats.org/officeDocument/2006/relationships/hyperlink" Target="#'Project Details'!A1"/><Relationship Id="rId1" Type="http://schemas.openxmlformats.org/officeDocument/2006/relationships/image" Target="../media/image2.emf"/><Relationship Id="rId6" Type="http://schemas.openxmlformats.org/officeDocument/2006/relationships/chart" Target="../charts/chart1.xml"/><Relationship Id="rId11" Type="http://schemas.openxmlformats.org/officeDocument/2006/relationships/hyperlink" Target="#'Risks &amp; Issues'!I4"/><Relationship Id="rId5" Type="http://schemas.openxmlformats.org/officeDocument/2006/relationships/image" Target="../media/image6.emf"/><Relationship Id="rId15" Type="http://schemas.openxmlformats.org/officeDocument/2006/relationships/chart" Target="../charts/chart7.xml"/><Relationship Id="rId10" Type="http://schemas.openxmlformats.org/officeDocument/2006/relationships/chart" Target="../charts/chart5.xml"/><Relationship Id="rId19" Type="http://schemas.openxmlformats.org/officeDocument/2006/relationships/chart" Target="../charts/chart9.xml"/><Relationship Id="rId4" Type="http://schemas.openxmlformats.org/officeDocument/2006/relationships/image" Target="../media/image5.emf"/><Relationship Id="rId9" Type="http://schemas.openxmlformats.org/officeDocument/2006/relationships/chart" Target="../charts/chart4.xml"/><Relationship Id="rId14" Type="http://schemas.openxmlformats.org/officeDocument/2006/relationships/chart" Target="../charts/chart6.xml"/><Relationship Id="rId22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Home!A1"/><Relationship Id="rId1" Type="http://schemas.openxmlformats.org/officeDocument/2006/relationships/hyperlink" Target="#Setting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Settings!A1"/><Relationship Id="rId1" Type="http://schemas.openxmlformats.org/officeDocument/2006/relationships/hyperlink" Target="#'Project Details'!A1"/><Relationship Id="rId4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'Project Details'!A1"/><Relationship Id="rId1" Type="http://schemas.openxmlformats.org/officeDocument/2006/relationships/hyperlink" Target="#Dashboard!A1"/><Relationship Id="rId4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Home!A1"/><Relationship Id="rId1" Type="http://schemas.openxmlformats.org/officeDocument/2006/relationships/hyperlink" Target="#'Project Details'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11</xdr:col>
      <xdr:colOff>1</xdr:colOff>
      <xdr:row>2</xdr:row>
      <xdr:rowOff>190500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0"/>
          <a:ext cx="7372350" cy="590550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6838950" cy="5048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14350" y="0"/>
          <a:ext cx="683895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&gt;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Home Screen</a:t>
          </a:r>
        </a:p>
      </xdr:txBody>
    </xdr:sp>
    <xdr:clientData/>
  </xdr:oneCellAnchor>
  <xdr:twoCellAnchor editAs="oneCell">
    <xdr:from>
      <xdr:col>7</xdr:col>
      <xdr:colOff>61912</xdr:colOff>
      <xdr:row>6</xdr:row>
      <xdr:rowOff>66675</xdr:rowOff>
    </xdr:from>
    <xdr:to>
      <xdr:col>7</xdr:col>
      <xdr:colOff>701992</xdr:colOff>
      <xdr:row>6</xdr:row>
      <xdr:rowOff>295275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86262" y="1266825"/>
          <a:ext cx="640080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 editAs="oneCell">
    <xdr:from>
      <xdr:col>7</xdr:col>
      <xdr:colOff>61912</xdr:colOff>
      <xdr:row>7</xdr:row>
      <xdr:rowOff>66675</xdr:rowOff>
    </xdr:from>
    <xdr:to>
      <xdr:col>7</xdr:col>
      <xdr:colOff>701992</xdr:colOff>
      <xdr:row>7</xdr:row>
      <xdr:rowOff>295275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86262" y="1609725"/>
          <a:ext cx="640080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 editAs="oneCell">
    <xdr:from>
      <xdr:col>7</xdr:col>
      <xdr:colOff>61912</xdr:colOff>
      <xdr:row>8</xdr:row>
      <xdr:rowOff>66675</xdr:rowOff>
    </xdr:from>
    <xdr:to>
      <xdr:col>7</xdr:col>
      <xdr:colOff>701992</xdr:colOff>
      <xdr:row>8</xdr:row>
      <xdr:rowOff>295275</xdr:rowOff>
    </xdr:to>
    <xdr:sp macro="" textlink="">
      <xdr:nvSpPr>
        <xdr:cNvPr id="6" name="Rounded 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86262" y="1952625"/>
          <a:ext cx="640080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 editAs="oneCell">
    <xdr:from>
      <xdr:col>7</xdr:col>
      <xdr:colOff>61912</xdr:colOff>
      <xdr:row>9</xdr:row>
      <xdr:rowOff>66675</xdr:rowOff>
    </xdr:from>
    <xdr:to>
      <xdr:col>7</xdr:col>
      <xdr:colOff>701992</xdr:colOff>
      <xdr:row>9</xdr:row>
      <xdr:rowOff>295275</xdr:rowOff>
    </xdr:to>
    <xdr:sp macro="" textlink="">
      <xdr:nvSpPr>
        <xdr:cNvPr id="7" name="Rounded 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386262" y="2295525"/>
          <a:ext cx="640080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 editAs="oneCell">
    <xdr:from>
      <xdr:col>7</xdr:col>
      <xdr:colOff>61912</xdr:colOff>
      <xdr:row>11</xdr:row>
      <xdr:rowOff>66675</xdr:rowOff>
    </xdr:from>
    <xdr:to>
      <xdr:col>7</xdr:col>
      <xdr:colOff>701992</xdr:colOff>
      <xdr:row>11</xdr:row>
      <xdr:rowOff>295275</xdr:rowOff>
    </xdr:to>
    <xdr:sp macro="" textlink="">
      <xdr:nvSpPr>
        <xdr:cNvPr id="8" name="Rounded 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86262" y="2981325"/>
          <a:ext cx="640080" cy="2286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tx2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 editAs="oneCell">
    <xdr:from>
      <xdr:col>7</xdr:col>
      <xdr:colOff>61912</xdr:colOff>
      <xdr:row>10</xdr:row>
      <xdr:rowOff>66675</xdr:rowOff>
    </xdr:from>
    <xdr:to>
      <xdr:col>7</xdr:col>
      <xdr:colOff>701992</xdr:colOff>
      <xdr:row>10</xdr:row>
      <xdr:rowOff>295275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386262" y="2638425"/>
          <a:ext cx="640080" cy="2286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chemeClr val="accent6">
              <a:lumMod val="60000"/>
              <a:lumOff val="40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tx2">
                  <a:lumMod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 this</a:t>
          </a:r>
        </a:p>
      </xdr:txBody>
    </xdr:sp>
    <xdr:clientData/>
  </xdr:twoCellAnchor>
  <xdr:twoCellAnchor>
    <xdr:from>
      <xdr:col>3</xdr:col>
      <xdr:colOff>200025</xdr:colOff>
      <xdr:row>14</xdr:row>
      <xdr:rowOff>47624</xdr:rowOff>
    </xdr:from>
    <xdr:to>
      <xdr:col>5</xdr:col>
      <xdr:colOff>0</xdr:colOff>
      <xdr:row>14</xdr:row>
      <xdr:rowOff>285749</xdr:rowOff>
    </xdr:to>
    <xdr:sp macro="" textlink="">
      <xdr:nvSpPr>
        <xdr:cNvPr id="12" name="Rounded Rectangl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476375" y="3876674"/>
          <a:ext cx="13239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Data</a:t>
          </a:r>
          <a:r>
            <a:rPr lang="en-US" sz="1000" baseline="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 Entry Sheets</a:t>
          </a:r>
          <a:endParaRPr lang="en-US" sz="10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200025</xdr:colOff>
      <xdr:row>14</xdr:row>
      <xdr:rowOff>47624</xdr:rowOff>
    </xdr:from>
    <xdr:to>
      <xdr:col>6</xdr:col>
      <xdr:colOff>228600</xdr:colOff>
      <xdr:row>14</xdr:row>
      <xdr:rowOff>285749</xdr:rowOff>
    </xdr:to>
    <xdr:sp macro="" textlink="">
      <xdr:nvSpPr>
        <xdr:cNvPr id="13" name="Rounded Rectangle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000375" y="3876674"/>
          <a:ext cx="7905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Settings</a:t>
          </a:r>
        </a:p>
      </xdr:txBody>
    </xdr:sp>
    <xdr:clientData/>
  </xdr:twoCellAnchor>
  <xdr:twoCellAnchor>
    <xdr:from>
      <xdr:col>1</xdr:col>
      <xdr:colOff>0</xdr:colOff>
      <xdr:row>14</xdr:row>
      <xdr:rowOff>47625</xdr:rowOff>
    </xdr:from>
    <xdr:to>
      <xdr:col>3</xdr:col>
      <xdr:colOff>0</xdr:colOff>
      <xdr:row>15</xdr:row>
      <xdr:rowOff>0</xdr:rowOff>
    </xdr:to>
    <xdr:sp macro="" textlink="">
      <xdr:nvSpPr>
        <xdr:cNvPr id="14" name="Rounded Rectangle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28600" y="3876675"/>
          <a:ext cx="1047750" cy="238125"/>
        </a:xfrm>
        <a:prstGeom prst="roundRect">
          <a:avLst/>
        </a:prstGeom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t>Dashboard</a:t>
          </a:r>
        </a:p>
      </xdr:txBody>
    </xdr:sp>
    <xdr:clientData/>
  </xdr:twoCellAnchor>
  <xdr:twoCellAnchor>
    <xdr:from>
      <xdr:col>0</xdr:col>
      <xdr:colOff>47625</xdr:colOff>
      <xdr:row>3</xdr:row>
      <xdr:rowOff>19050</xdr:rowOff>
    </xdr:from>
    <xdr:to>
      <xdr:col>11</xdr:col>
      <xdr:colOff>0</xdr:colOff>
      <xdr:row>17</xdr:row>
      <xdr:rowOff>0</xdr:rowOff>
    </xdr:to>
    <xdr:grpSp>
      <xdr:nvGrpSpPr>
        <xdr:cNvPr id="15" name="grpWarni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47625" y="619125"/>
          <a:ext cx="7324725" cy="4067175"/>
          <a:chOff x="666750" y="695325"/>
          <a:chExt cx="6737726" cy="4067175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66750" y="695325"/>
            <a:ext cx="6737726" cy="4067175"/>
          </a:xfrm>
          <a:prstGeom prst="roundRect">
            <a:avLst>
              <a:gd name="adj" fmla="val 1260"/>
            </a:avLst>
          </a:prstGeom>
          <a:solidFill>
            <a:schemeClr val="bg2">
              <a:lumMod val="90000"/>
            </a:schemeClr>
          </a:solidFill>
          <a:ln w="3175"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7" name="Picture 16" descr="C:\Users\skyline\AppData\Local\Microsoft\Windows\Temporary Internet Files\Content.IE5\IVZ0Z9TT\MC900434805[1].png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9956" y="962025"/>
            <a:ext cx="1466850" cy="1466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565345" y="1182014"/>
            <a:ext cx="4224438" cy="10229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320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chemeClr val="bg1">
                      <a:alpha val="40000"/>
                    </a:schemeClr>
                  </a:outerShdw>
                </a:effectLst>
                <a:latin typeface="+mj-lt"/>
              </a:rPr>
              <a:t>You must enable macros</a:t>
            </a:r>
          </a:p>
          <a:p>
            <a:r>
              <a:rPr lang="en-US" sz="320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chemeClr val="bg1">
                      <a:alpha val="40000"/>
                    </a:schemeClr>
                  </a:outerShdw>
                </a:effectLst>
                <a:latin typeface="+mj-lt"/>
              </a:rPr>
              <a:t>to</a:t>
            </a:r>
            <a:r>
              <a:rPr lang="en-US" sz="3200" baseline="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chemeClr val="bg1">
                      <a:alpha val="40000"/>
                    </a:schemeClr>
                  </a:outerShdw>
                </a:effectLst>
                <a:latin typeface="+mj-lt"/>
              </a:rPr>
              <a:t> use this dashboard</a:t>
            </a:r>
            <a:endParaRPr lang="en-US" sz="3200">
              <a:solidFill>
                <a:schemeClr val="bg2">
                  <a:lumMod val="25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9525</xdr:colOff>
      <xdr:row>5</xdr:row>
      <xdr:rowOff>85726</xdr:rowOff>
    </xdr:from>
    <xdr:ext cx="2657475" cy="247650"/>
    <xdr:sp macro="" textlink="valProjectName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314825" y="2095501"/>
          <a:ext cx="2657475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fld id="{C6EAB70D-E006-46B2-8984-44E523124698}" type="TxLink">
            <a:rPr lang="en-US" sz="12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lumMod val="75000"/>
                    <a:alpha val="40000"/>
                  </a:schemeClr>
                </a:outerShdw>
              </a:effectLst>
              <a:latin typeface="+mj-lt"/>
            </a:rPr>
            <a:pPr/>
            <a:t>ABC Integration Plan</a:t>
          </a:fld>
          <a:endParaRPr lang="en-US" sz="1200" b="0">
            <a:solidFill>
              <a:srgbClr val="0070C0"/>
            </a:solidFill>
            <a:effectLst>
              <a:outerShdw blurRad="50800" dist="38100" dir="5400000" algn="t" rotWithShape="0">
                <a:schemeClr val="bg1">
                  <a:lumMod val="75000"/>
                  <a:alpha val="40000"/>
                </a:schemeClr>
              </a:outerShdw>
            </a:effectLst>
            <a:latin typeface="+mj-lt"/>
          </a:endParaRP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22</xdr:col>
      <xdr:colOff>0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3801725" cy="590550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50800</xdr:colOff>
      <xdr:row>3</xdr:row>
      <xdr:rowOff>9525</xdr:rowOff>
    </xdr:from>
    <xdr:to>
      <xdr:col>10</xdr:col>
      <xdr:colOff>12700</xdr:colOff>
      <xdr:row>3</xdr:row>
      <xdr:rowOff>866775</xdr:rowOff>
    </xdr:to>
    <xdr:sp macro="" textlink="">
      <xdr:nvSpPr>
        <xdr:cNvPr id="71" name="Round Same Side Corner Rectangl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4356100" y="657225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190500</xdr:colOff>
      <xdr:row>3</xdr:row>
      <xdr:rowOff>9525</xdr:rowOff>
    </xdr:from>
    <xdr:to>
      <xdr:col>21</xdr:col>
      <xdr:colOff>0</xdr:colOff>
      <xdr:row>3</xdr:row>
      <xdr:rowOff>866775</xdr:rowOff>
    </xdr:to>
    <xdr:sp macro="" textlink="">
      <xdr:nvSpPr>
        <xdr:cNvPr id="78" name="Round Same Side Corner Rectangl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1544300" y="657225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bg2"/>
        </a:solidFill>
        <a:ln w="3175">
          <a:solidFill>
            <a:schemeClr val="bg2">
              <a:lumMod val="5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654050</xdr:colOff>
      <xdr:row>3</xdr:row>
      <xdr:rowOff>9525</xdr:rowOff>
    </xdr:from>
    <xdr:to>
      <xdr:col>6</xdr:col>
      <xdr:colOff>139700</xdr:colOff>
      <xdr:row>3</xdr:row>
      <xdr:rowOff>866775</xdr:rowOff>
    </xdr:to>
    <xdr:sp macro="" textlink="">
      <xdr:nvSpPr>
        <xdr:cNvPr id="70" name="Round Same Side Corner Rectangle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2559050" y="657225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9525</xdr:rowOff>
    </xdr:from>
    <xdr:to>
      <xdr:col>4</xdr:col>
      <xdr:colOff>342900</xdr:colOff>
      <xdr:row>3</xdr:row>
      <xdr:rowOff>866775</xdr:rowOff>
    </xdr:to>
    <xdr:sp macro="" textlink="">
      <xdr:nvSpPr>
        <xdr:cNvPr id="6" name="Round Same Side Corner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62000" y="876300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</xdr:row>
          <xdr:rowOff>0</xdr:rowOff>
        </xdr:from>
        <xdr:to>
          <xdr:col>5</xdr:col>
          <xdr:colOff>790575</xdr:colOff>
          <xdr:row>8</xdr:row>
          <xdr:rowOff>85725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P$9:$Z$9" spid="_x0000_s161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675" y="1333500"/>
              <a:ext cx="2867025" cy="285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11</xdr:row>
          <xdr:rowOff>250031</xdr:rowOff>
        </xdr:from>
        <xdr:to>
          <xdr:col>5</xdr:col>
          <xdr:colOff>790575</xdr:colOff>
          <xdr:row>13</xdr:row>
          <xdr:rowOff>69056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P$10:$Z$10" spid="_x0000_s161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28675" y="2326481"/>
              <a:ext cx="2867025" cy="285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16</xdr:row>
          <xdr:rowOff>252412</xdr:rowOff>
        </xdr:from>
        <xdr:to>
          <xdr:col>5</xdr:col>
          <xdr:colOff>790575</xdr:colOff>
          <xdr:row>18</xdr:row>
          <xdr:rowOff>71437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P$11:$Z$11" spid="_x0000_s1614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28675" y="3338512"/>
              <a:ext cx="2867025" cy="285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21</xdr:row>
          <xdr:rowOff>254793</xdr:rowOff>
        </xdr:from>
        <xdr:to>
          <xdr:col>5</xdr:col>
          <xdr:colOff>790575</xdr:colOff>
          <xdr:row>23</xdr:row>
          <xdr:rowOff>73818</xdr:rowOff>
        </xdr:to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P$12:$Z$12" spid="_x0000_s1614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28675" y="4350543"/>
              <a:ext cx="2867025" cy="285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27</xdr:row>
          <xdr:rowOff>0</xdr:rowOff>
        </xdr:from>
        <xdr:to>
          <xdr:col>5</xdr:col>
          <xdr:colOff>790575</xdr:colOff>
          <xdr:row>28</xdr:row>
          <xdr:rowOff>85725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P$13:$Z$13" spid="_x0000_s1614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28675" y="5372100"/>
              <a:ext cx="2867025" cy="285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14288</xdr:colOff>
      <xdr:row>6</xdr:row>
      <xdr:rowOff>190500</xdr:rowOff>
    </xdr:from>
    <xdr:to>
      <xdr:col>4</xdr:col>
      <xdr:colOff>547688</xdr:colOff>
      <xdr:row>7</xdr:row>
      <xdr:rowOff>90488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14288</xdr:colOff>
      <xdr:row>11</xdr:row>
      <xdr:rowOff>176212</xdr:rowOff>
    </xdr:from>
    <xdr:to>
      <xdr:col>4</xdr:col>
      <xdr:colOff>547688</xdr:colOff>
      <xdr:row>12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14288</xdr:colOff>
      <xdr:row>16</xdr:row>
      <xdr:rowOff>171450</xdr:rowOff>
    </xdr:from>
    <xdr:to>
      <xdr:col>4</xdr:col>
      <xdr:colOff>547688</xdr:colOff>
      <xdr:row>17</xdr:row>
      <xdr:rowOff>71438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14288</xdr:colOff>
      <xdr:row>21</xdr:row>
      <xdr:rowOff>166687</xdr:rowOff>
    </xdr:from>
    <xdr:to>
      <xdr:col>4</xdr:col>
      <xdr:colOff>547688</xdr:colOff>
      <xdr:row>22</xdr:row>
      <xdr:rowOff>66675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14288</xdr:colOff>
      <xdr:row>26</xdr:row>
      <xdr:rowOff>161925</xdr:rowOff>
    </xdr:from>
    <xdr:to>
      <xdr:col>4</xdr:col>
      <xdr:colOff>547688</xdr:colOff>
      <xdr:row>27</xdr:row>
      <xdr:rowOff>61913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66675</xdr:colOff>
          <xdr:row>8</xdr:row>
          <xdr:rowOff>180975</xdr:rowOff>
        </xdr:to>
        <xdr:sp macro="" textlink="">
          <xdr:nvSpPr>
            <xdr:cNvPr id="5148" name="optProject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66675</xdr:rowOff>
        </xdr:from>
        <xdr:to>
          <xdr:col>6</xdr:col>
          <xdr:colOff>238125</xdr:colOff>
          <xdr:row>13</xdr:row>
          <xdr:rowOff>171450</xdr:rowOff>
        </xdr:to>
        <xdr:sp macro="" textlink="">
          <xdr:nvSpPr>
            <xdr:cNvPr id="5149" name="optProject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238125</xdr:colOff>
          <xdr:row>18</xdr:row>
          <xdr:rowOff>180975</xdr:rowOff>
        </xdr:to>
        <xdr:sp macro="" textlink="">
          <xdr:nvSpPr>
            <xdr:cNvPr id="5150" name="optProject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238125</xdr:colOff>
          <xdr:row>23</xdr:row>
          <xdr:rowOff>180975</xdr:rowOff>
        </xdr:to>
        <xdr:sp macro="" textlink="">
          <xdr:nvSpPr>
            <xdr:cNvPr id="5151" name="optProject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238125</xdr:colOff>
          <xdr:row>28</xdr:row>
          <xdr:rowOff>180975</xdr:rowOff>
        </xdr:to>
        <xdr:sp macro="" textlink="">
          <xdr:nvSpPr>
            <xdr:cNvPr id="5152" name="optProject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590550</xdr:colOff>
          <xdr:row>7</xdr:row>
          <xdr:rowOff>142875</xdr:rowOff>
        </xdr:from>
        <xdr:to>
          <xdr:col>20</xdr:col>
          <xdr:colOff>0</xdr:colOff>
          <xdr:row>21</xdr:row>
          <xdr:rowOff>209550</xdr:rowOff>
        </xdr:to>
        <xdr:sp macro="" textlink="">
          <xdr:nvSpPr>
            <xdr:cNvPr id="5220" name="Scroll Bar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6</xdr:row>
          <xdr:rowOff>19050</xdr:rowOff>
        </xdr:from>
        <xdr:to>
          <xdr:col>19</xdr:col>
          <xdr:colOff>409575</xdr:colOff>
          <xdr:row>6</xdr:row>
          <xdr:rowOff>200025</xdr:rowOff>
        </xdr:to>
        <xdr:sp macro="" textlink="">
          <xdr:nvSpPr>
            <xdr:cNvPr id="5221" name="Scroll Bar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oneCellAnchor>
    <xdr:from>
      <xdr:col>8</xdr:col>
      <xdr:colOff>28575</xdr:colOff>
      <xdr:row>24</xdr:row>
      <xdr:rowOff>57150</xdr:rowOff>
    </xdr:from>
    <xdr:ext cx="1381125" cy="676275"/>
    <xdr:sp macro="" textlink="top5Issues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591050" y="4829175"/>
          <a:ext cx="1381125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725F0864-EE04-4501-A5E0-7D08233B9B38}" type="TxLink">
            <a:rPr lang="en-US" sz="800">
              <a:solidFill>
                <a:schemeClr val="tx1"/>
              </a:solidFill>
            </a:rPr>
            <a:pPr/>
            <a:t>Some very simple issue
Some very unforeseen issu…
Some very simple issue
Some very simple issue
Some very simple issue</a:t>
          </a:fld>
          <a:endParaRPr lang="en-US" sz="800">
            <a:solidFill>
              <a:schemeClr val="tx1"/>
            </a:solidFill>
          </a:endParaRPr>
        </a:p>
      </xdr:txBody>
    </xdr:sp>
    <xdr:clientData/>
  </xdr:oneCellAnchor>
  <xdr:oneCellAnchor>
    <xdr:from>
      <xdr:col>9</xdr:col>
      <xdr:colOff>571500</xdr:colOff>
      <xdr:row>24</xdr:row>
      <xdr:rowOff>57150</xdr:rowOff>
    </xdr:from>
    <xdr:ext cx="781050" cy="676275"/>
    <xdr:sp macro="" textlink="top5IssueDates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5895975" y="4829175"/>
          <a:ext cx="781050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E15BD852-35B7-451D-B364-9A8BD34EAD66}" type="TxLink">
            <a:rPr lang="en-US" sz="800">
              <a:solidFill>
                <a:schemeClr val="tx1">
                  <a:lumMod val="75000"/>
                  <a:lumOff val="25000"/>
                </a:schemeClr>
              </a:solidFill>
            </a:rPr>
            <a:pPr/>
            <a:t>
[03-Dec-2012]
[03-Dec-2012]
[05-Dec-2012]
[05-Dec-2012]</a:t>
          </a:fld>
          <a:endParaRPr lang="en-US" sz="8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11</xdr:col>
      <xdr:colOff>0</xdr:colOff>
      <xdr:row>24</xdr:row>
      <xdr:rowOff>57150</xdr:rowOff>
    </xdr:from>
    <xdr:ext cx="1381125" cy="676275"/>
    <xdr:sp macro="" textlink="top5Risks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848475" y="4829175"/>
          <a:ext cx="1381125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1D8C7683-3315-489D-A4D5-2696070A3061}" type="TxLink">
            <a:rPr lang="en-US" sz="800">
              <a:solidFill>
                <a:schemeClr val="tx1"/>
              </a:solidFill>
            </a:rPr>
            <a:pPr/>
            <a:t>Some complicated risk
Some very unforeseen risk
</a:t>
          </a:fld>
          <a:endParaRPr lang="en-US" sz="800">
            <a:solidFill>
              <a:schemeClr val="tx1"/>
            </a:solidFill>
          </a:endParaRPr>
        </a:p>
      </xdr:txBody>
    </xdr:sp>
    <xdr:clientData/>
  </xdr:oneCellAnchor>
  <xdr:oneCellAnchor>
    <xdr:from>
      <xdr:col>12</xdr:col>
      <xdr:colOff>542925</xdr:colOff>
      <xdr:row>24</xdr:row>
      <xdr:rowOff>57150</xdr:rowOff>
    </xdr:from>
    <xdr:ext cx="781050" cy="676275"/>
    <xdr:sp macro="" textlink="top5RiskSevs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8153400" y="4829175"/>
          <a:ext cx="781050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2B3A1206-1D19-480E-BCC9-A40A6C904EC4}" type="TxLink">
            <a:rPr lang="en-US" sz="800">
              <a:solidFill>
                <a:schemeClr val="accent2"/>
              </a:solidFill>
              <a:latin typeface="Webdings" pitchFamily="18" charset="2"/>
            </a:rPr>
            <a:pPr/>
            <a:t>~~~
~
</a:t>
          </a:fld>
          <a:endParaRPr lang="en-US" sz="800">
            <a:solidFill>
              <a:schemeClr val="accent2"/>
            </a:solidFill>
            <a:latin typeface="Webdings" pitchFamily="18" charset="2"/>
          </a:endParaRPr>
        </a:p>
      </xdr:txBody>
    </xdr:sp>
    <xdr:clientData/>
  </xdr:oneCellAnchor>
  <xdr:oneCellAnchor>
    <xdr:from>
      <xdr:col>14</xdr:col>
      <xdr:colOff>180975</xdr:colOff>
      <xdr:row>24</xdr:row>
      <xdr:rowOff>57150</xdr:rowOff>
    </xdr:from>
    <xdr:ext cx="733425" cy="676275"/>
    <xdr:sp macro="" textlink="valActLabels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9315450" y="4829175"/>
          <a:ext cx="733425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E013BB4-486D-41BE-88A5-F61EE2BB7A97}" type="TxLink">
            <a:rPr lang="en-US" sz="800">
              <a:solidFill>
                <a:schemeClr val="tx1">
                  <a:lumMod val="75000"/>
                  <a:lumOff val="25000"/>
                </a:schemeClr>
              </a:solidFill>
            </a:rPr>
            <a:pPr/>
            <a:t>Total
Completed
In Progress
Yet to start</a:t>
          </a:fld>
          <a:endParaRPr lang="en-US" sz="8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13</xdr:col>
      <xdr:colOff>571500</xdr:colOff>
      <xdr:row>24</xdr:row>
      <xdr:rowOff>57150</xdr:rowOff>
    </xdr:from>
    <xdr:ext cx="342900" cy="676275"/>
    <xdr:sp macro="" textlink="valActComps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8943975" y="4829175"/>
          <a:ext cx="342900" cy="6762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r"/>
          <a:fld id="{251CE6C2-8083-45D1-852C-4618CB4E6403}" type="TxLink">
            <a:rPr lang="en-US" sz="800" b="1">
              <a:solidFill>
                <a:schemeClr val="tx1"/>
              </a:solidFill>
            </a:rPr>
            <a:pPr algn="r"/>
            <a:t>40
0
22
18</a:t>
          </a:fld>
          <a:endParaRPr lang="en-US" sz="800" b="1">
            <a:solidFill>
              <a:schemeClr val="tx1"/>
            </a:solidFill>
          </a:endParaRPr>
        </a:p>
      </xdr:txBody>
    </xdr:sp>
    <xdr:clientData/>
  </xdr:oneCellAnchor>
  <xdr:oneCellAnchor>
    <xdr:from>
      <xdr:col>16</xdr:col>
      <xdr:colOff>19050</xdr:colOff>
      <xdr:row>24</xdr:row>
      <xdr:rowOff>1</xdr:rowOff>
    </xdr:from>
    <xdr:ext cx="1485900" cy="238124"/>
    <xdr:sp macro="" textlink="valPrjOwner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10106025" y="4772026"/>
          <a:ext cx="1485900" cy="2381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l"/>
          <a:fld id="{22398DC4-EA9D-4BC0-A5ED-A5CA8481F49A}" type="TxLink">
            <a:rPr lang="en-US" sz="1100" b="1">
              <a:solidFill>
                <a:schemeClr val="tx1"/>
              </a:solidFill>
            </a:rPr>
            <a:pPr algn="l"/>
            <a:t>Adam Albert</a:t>
          </a:fld>
          <a:endParaRPr lang="en-US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16</xdr:col>
      <xdr:colOff>19050</xdr:colOff>
      <xdr:row>25</xdr:row>
      <xdr:rowOff>104776</xdr:rowOff>
    </xdr:from>
    <xdr:ext cx="1323975" cy="152400"/>
    <xdr:sp macro="" textlink="valPrjEmail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10106025" y="4953001"/>
          <a:ext cx="1323975" cy="152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l"/>
          <a:fld id="{BDEAEC26-1EAD-4502-A577-CF0BA92FC0AB}" type="TxLink">
            <a:rPr lang="en-US" sz="900" b="0">
              <a:solidFill>
                <a:schemeClr val="tx1">
                  <a:lumMod val="75000"/>
                  <a:lumOff val="25000"/>
                </a:schemeClr>
              </a:solidFill>
            </a:rPr>
            <a:pPr algn="l"/>
            <a:t>alberta@project.com</a:t>
          </a:fld>
          <a:endParaRPr lang="en-US" sz="9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16</xdr:col>
      <xdr:colOff>19050</xdr:colOff>
      <xdr:row>25</xdr:row>
      <xdr:rowOff>247651</xdr:rowOff>
    </xdr:from>
    <xdr:ext cx="1323975" cy="152400"/>
    <xdr:sp macro="" textlink="valPrjPhone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10106025" y="5095876"/>
          <a:ext cx="1323975" cy="152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l"/>
          <a:fld id="{A2E47FBE-A398-47FE-9FF7-29A82B3A5E17}" type="TxLink">
            <a:rPr lang="en-US" sz="900" b="0">
              <a:solidFill>
                <a:schemeClr val="tx1">
                  <a:lumMod val="75000"/>
                  <a:lumOff val="25000"/>
                </a:schemeClr>
              </a:solidFill>
            </a:rPr>
            <a:pPr algn="l"/>
            <a:t>758-072-8357</a:t>
          </a:fld>
          <a:endParaRPr lang="en-US" sz="9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oneCellAnchor>
    <xdr:from>
      <xdr:col>16</xdr:col>
      <xdr:colOff>19050</xdr:colOff>
      <xdr:row>27</xdr:row>
      <xdr:rowOff>114300</xdr:rowOff>
    </xdr:from>
    <xdr:ext cx="1323975" cy="152400"/>
    <xdr:sp macro="" textlink="valTeamSize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10106025" y="5486400"/>
          <a:ext cx="1323975" cy="152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 algn="l"/>
          <a:fld id="{DED11FEB-29A0-4F48-8647-CDAEAB7F8056}" type="TxLink">
            <a:rPr lang="en-US" sz="900" b="0">
              <a:solidFill>
                <a:schemeClr val="tx1"/>
              </a:solidFill>
            </a:rPr>
            <a:pPr algn="l"/>
            <a:t>Team size: 20</a:t>
          </a:fld>
          <a:endParaRPr lang="en-US" sz="900" b="0">
            <a:solidFill>
              <a:schemeClr val="tx1"/>
            </a:solidFill>
          </a:endParaRPr>
        </a:p>
      </xdr:txBody>
    </xdr:sp>
    <xdr:clientData/>
  </xdr:oneCellAnchor>
  <xdr:oneCellAnchor>
    <xdr:from>
      <xdr:col>18</xdr:col>
      <xdr:colOff>0</xdr:colOff>
      <xdr:row>23</xdr:row>
      <xdr:rowOff>209549</xdr:rowOff>
    </xdr:from>
    <xdr:ext cx="1524000" cy="866775"/>
    <xdr:sp macro="" textlink="valPrjComment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11353800" y="5848349"/>
          <a:ext cx="1524000" cy="866775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45720" tIns="45720" rIns="45720" bIns="45720" rtlCol="0" anchor="t">
          <a:noAutofit/>
        </a:bodyPr>
        <a:lstStyle/>
        <a:p>
          <a:pPr algn="l"/>
          <a:fld id="{5525D113-BBFA-4478-971D-759CBEBFACE7}" type="TxLink">
            <a:rPr lang="en-US" sz="900" b="0">
              <a:solidFill>
                <a:schemeClr val="tx1">
                  <a:lumMod val="75000"/>
                  <a:lumOff val="25000"/>
                </a:schemeClr>
              </a:solidFill>
            </a:rPr>
            <a:pPr algn="l"/>
            <a:t>We need to focus on this project. It is going to be superb failure.</a:t>
          </a:fld>
          <a:endParaRPr lang="en-US" sz="9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oneCellAnchor>
  <xdr:twoCellAnchor>
    <xdr:from>
      <xdr:col>10</xdr:col>
      <xdr:colOff>609600</xdr:colOff>
      <xdr:row>24</xdr:row>
      <xdr:rowOff>0</xdr:rowOff>
    </xdr:from>
    <xdr:to>
      <xdr:col>10</xdr:col>
      <xdr:colOff>627888</xdr:colOff>
      <xdr:row>28</xdr:row>
      <xdr:rowOff>114300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696075" y="4772025"/>
          <a:ext cx="18288" cy="914400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38100" sx="102000" sy="102000" algn="ctr" rotWithShape="0">
            <a:schemeClr val="tx1">
              <a:lumMod val="75000"/>
              <a:lumOff val="2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542926</xdr:colOff>
      <xdr:row>23</xdr:row>
      <xdr:rowOff>180975</xdr:rowOff>
    </xdr:from>
    <xdr:to>
      <xdr:col>13</xdr:col>
      <xdr:colOff>561214</xdr:colOff>
      <xdr:row>28</xdr:row>
      <xdr:rowOff>85725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8915401" y="4743450"/>
          <a:ext cx="18288" cy="914400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66676</xdr:colOff>
      <xdr:row>23</xdr:row>
      <xdr:rowOff>180975</xdr:rowOff>
    </xdr:from>
    <xdr:to>
      <xdr:col>15</xdr:col>
      <xdr:colOff>84964</xdr:colOff>
      <xdr:row>28</xdr:row>
      <xdr:rowOff>85725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9963151" y="4743450"/>
          <a:ext cx="18288" cy="914400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590551</xdr:colOff>
      <xdr:row>23</xdr:row>
      <xdr:rowOff>180975</xdr:rowOff>
    </xdr:from>
    <xdr:to>
      <xdr:col>17</xdr:col>
      <xdr:colOff>608839</xdr:colOff>
      <xdr:row>28</xdr:row>
      <xdr:rowOff>85725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1439526" y="4743450"/>
          <a:ext cx="18288" cy="914400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27</xdr:row>
      <xdr:rowOff>85725</xdr:rowOff>
    </xdr:from>
    <xdr:to>
      <xdr:col>8</xdr:col>
      <xdr:colOff>666750</xdr:colOff>
      <xdr:row>28</xdr:row>
      <xdr:rowOff>47625</xdr:rowOff>
    </xdr:to>
    <xdr:sp macro="" textlink="">
      <xdr:nvSpPr>
        <xdr:cNvPr id="13" name="Rounded 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62475" y="5457825"/>
          <a:ext cx="666750" cy="161925"/>
        </a:xfrm>
        <a:prstGeom prst="round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innerShdw blurRad="1143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</a:rPr>
            <a:t>More</a:t>
          </a:r>
        </a:p>
      </xdr:txBody>
    </xdr:sp>
    <xdr:clientData fPrintsWithSheet="0"/>
  </xdr:twoCellAnchor>
  <xdr:twoCellAnchor>
    <xdr:from>
      <xdr:col>11</xdr:col>
      <xdr:colOff>0</xdr:colOff>
      <xdr:row>27</xdr:row>
      <xdr:rowOff>85725</xdr:rowOff>
    </xdr:from>
    <xdr:to>
      <xdr:col>11</xdr:col>
      <xdr:colOff>666750</xdr:colOff>
      <xdr:row>28</xdr:row>
      <xdr:rowOff>47625</xdr:rowOff>
    </xdr:to>
    <xdr:sp macro="" textlink="">
      <xdr:nvSpPr>
        <xdr:cNvPr id="46" name="Rounded Rectangle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848475" y="5457825"/>
          <a:ext cx="666750" cy="161925"/>
        </a:xfrm>
        <a:prstGeom prst="round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innerShdw blurRad="1143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</a:rPr>
            <a:t>More</a:t>
          </a:r>
        </a:p>
      </xdr:txBody>
    </xdr:sp>
    <xdr:clientData fPrintsWithSheet="0"/>
  </xdr:twoCellAnchor>
  <xdr:twoCellAnchor>
    <xdr:from>
      <xdr:col>14</xdr:col>
      <xdr:colOff>0</xdr:colOff>
      <xdr:row>27</xdr:row>
      <xdr:rowOff>85725</xdr:rowOff>
    </xdr:from>
    <xdr:to>
      <xdr:col>14</xdr:col>
      <xdr:colOff>666750</xdr:colOff>
      <xdr:row>28</xdr:row>
      <xdr:rowOff>47625</xdr:rowOff>
    </xdr:to>
    <xdr:sp macro="" textlink="">
      <xdr:nvSpPr>
        <xdr:cNvPr id="47" name="Rounded Rectangl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9134475" y="5457825"/>
          <a:ext cx="666750" cy="161925"/>
        </a:xfrm>
        <a:prstGeom prst="roundRect">
          <a:avLst/>
        </a:prstGeom>
        <a:solidFill>
          <a:schemeClr val="bg1">
            <a:lumMod val="95000"/>
          </a:schemeClr>
        </a:solidFill>
        <a:ln w="3175">
          <a:solidFill>
            <a:schemeClr val="bg1">
              <a:lumMod val="85000"/>
            </a:schemeClr>
          </a:solidFill>
        </a:ln>
        <a:effectLst>
          <a:innerShdw blurRad="1143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</a:rPr>
            <a:t>More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3</xdr:row>
          <xdr:rowOff>238125</xdr:rowOff>
        </xdr:from>
        <xdr:to>
          <xdr:col>20</xdr:col>
          <xdr:colOff>47625</xdr:colOff>
          <xdr:row>3</xdr:row>
          <xdr:rowOff>419100</xdr:rowOff>
        </xdr:to>
        <xdr:sp macro="" textlink="">
          <xdr:nvSpPr>
            <xdr:cNvPr id="5691" name="Drop Down 571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3</xdr:row>
          <xdr:rowOff>619125</xdr:rowOff>
        </xdr:from>
        <xdr:to>
          <xdr:col>20</xdr:col>
          <xdr:colOff>47625</xdr:colOff>
          <xdr:row>3</xdr:row>
          <xdr:rowOff>800100</xdr:rowOff>
        </xdr:to>
        <xdr:sp macro="" textlink="">
          <xdr:nvSpPr>
            <xdr:cNvPr id="5903" name="Drop Down 783" hidden="1">
              <a:extLst>
                <a:ext uri="{63B3BB69-23CF-44E3-9099-C40C66FF867C}">
                  <a14:compatExt spid="_x0000_s5903"/>
                </a:ext>
                <a:ext uri="{FF2B5EF4-FFF2-40B4-BE49-F238E27FC236}">
                  <a16:creationId xmlns:a16="http://schemas.microsoft.com/office/drawing/2014/main" id="{00000000-0008-0000-0100-00000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47626</xdr:rowOff>
    </xdr:from>
    <xdr:to>
      <xdr:col>4</xdr:col>
      <xdr:colOff>347472</xdr:colOff>
      <xdr:row>3</xdr:row>
      <xdr:rowOff>372587</xdr:rowOff>
    </xdr:to>
    <xdr:sp macro="" textlink="Calculations!G3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2000" y="914401"/>
          <a:ext cx="1490472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A9B98C1C-4950-4523-BD62-0D398A843202}" type="TxLink">
            <a:rPr lang="en-US" sz="16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ctr"/>
            <a:t>8 Projects</a:t>
          </a:fld>
          <a:endParaRPr lang="en-US" sz="16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2</xdr:col>
      <xdr:colOff>85726</xdr:colOff>
      <xdr:row>3</xdr:row>
      <xdr:rowOff>428625</xdr:rowOff>
    </xdr:from>
    <xdr:to>
      <xdr:col>3</xdr:col>
      <xdr:colOff>363621</xdr:colOff>
      <xdr:row>3</xdr:row>
      <xdr:rowOff>753586</xdr:rowOff>
    </xdr:to>
    <xdr:sp macro="" textlink="Calculations!G4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933451" y="1028700"/>
          <a:ext cx="573170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r"/>
          <a:fld id="{06028F83-2B3F-45B6-AAD6-F6E72B2BE1CC}" type="TxLink">
            <a:rPr lang="en-US" sz="1600" b="0">
              <a:solidFill>
                <a:schemeClr val="accent3">
                  <a:lumMod val="75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r"/>
            <a:t>82%</a:t>
          </a:fld>
          <a:endParaRPr lang="en-US" sz="1600" b="0">
            <a:solidFill>
              <a:schemeClr val="accent3">
                <a:lumMod val="75000"/>
              </a:schemeClr>
            </a:solidFill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3</xdr:col>
      <xdr:colOff>438151</xdr:colOff>
      <xdr:row>3</xdr:row>
      <xdr:rowOff>464981</xdr:rowOff>
    </xdr:from>
    <xdr:to>
      <xdr:col>4</xdr:col>
      <xdr:colOff>159938</xdr:colOff>
      <xdr:row>3</xdr:row>
      <xdr:rowOff>717230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581151" y="1065056"/>
          <a:ext cx="483787" cy="25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l"/>
          <a:r>
            <a:rPr lang="en-US" sz="11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done</a:t>
          </a:r>
        </a:p>
      </xdr:txBody>
    </xdr:sp>
    <xdr:clientData/>
  </xdr:twoCellAnchor>
  <xdr:twoCellAnchor>
    <xdr:from>
      <xdr:col>4</xdr:col>
      <xdr:colOff>654050</xdr:colOff>
      <xdr:row>3</xdr:row>
      <xdr:rowOff>47626</xdr:rowOff>
    </xdr:from>
    <xdr:to>
      <xdr:col>6</xdr:col>
      <xdr:colOff>144272</xdr:colOff>
      <xdr:row>3</xdr:row>
      <xdr:rowOff>372587</xdr:rowOff>
    </xdr:to>
    <xdr:sp macro="" textlink="Calculations!K3">
      <xdr:nvSpPr>
        <xdr:cNvPr id="55" name="TextBox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559050" y="914401"/>
          <a:ext cx="1490472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D86B5992-34F4-46DC-B95C-600CA202363D}" type="TxLink">
            <a:rPr lang="en-US" sz="16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ctr"/>
            <a:t>$3.2 mn</a:t>
          </a:fld>
          <a:endParaRPr lang="en-US" sz="16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4</xdr:col>
      <xdr:colOff>690562</xdr:colOff>
      <xdr:row>3</xdr:row>
      <xdr:rowOff>342900</xdr:rowOff>
    </xdr:from>
    <xdr:to>
      <xdr:col>6</xdr:col>
      <xdr:colOff>119062</xdr:colOff>
      <xdr:row>3</xdr:row>
      <xdr:rowOff>667861</xdr:rowOff>
    </xdr:to>
    <xdr:sp macro="" textlink="Calculations!K4">
      <xdr:nvSpPr>
        <xdr:cNvPr id="62" name="TextBox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2595562" y="942975"/>
          <a:ext cx="1428750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D31E1899-6D28-4CB5-9B70-7F881189A156}" type="TxLink">
            <a:rPr lang="en-US" sz="12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pPr algn="ctr"/>
            <a:t>$2.4 mn spent</a:t>
          </a:fld>
          <a:endParaRPr lang="en-US" sz="12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oneCellAnchor>
    <xdr:from>
      <xdr:col>4</xdr:col>
      <xdr:colOff>714375</xdr:colOff>
      <xdr:row>2</xdr:row>
      <xdr:rowOff>115203</xdr:rowOff>
    </xdr:from>
    <xdr:ext cx="1400175" cy="20864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619375" y="781953"/>
          <a:ext cx="14001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BUDGETS</a:t>
          </a:r>
        </a:p>
      </xdr:txBody>
    </xdr:sp>
    <xdr:clientData/>
  </xdr:oneCellAnchor>
  <xdr:twoCellAnchor>
    <xdr:from>
      <xdr:col>4</xdr:col>
      <xdr:colOff>949972</xdr:colOff>
      <xdr:row>3</xdr:row>
      <xdr:rowOff>628650</xdr:rowOff>
    </xdr:from>
    <xdr:to>
      <xdr:col>5</xdr:col>
      <xdr:colOff>859777</xdr:colOff>
      <xdr:row>3</xdr:row>
      <xdr:rowOff>866774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54972" y="1616869"/>
          <a:ext cx="909930" cy="238124"/>
          <a:chOff x="2726386" y="1200150"/>
          <a:chExt cx="909930" cy="238124"/>
        </a:xfrm>
      </xdr:grpSpPr>
      <xdr:graphicFrame macro="">
        <xdr:nvGraphicFramePr>
          <xdr:cNvPr id="63" name="Chart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GraphicFramePr>
            <a:graphicFrameLocks/>
          </xdr:cNvGraphicFramePr>
        </xdr:nvGraphicFramePr>
        <xdr:xfrm>
          <a:off x="2726386" y="1200150"/>
          <a:ext cx="761994" cy="2381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Calculations!J5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3369320" y="1219200"/>
            <a:ext cx="266996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rIns="0" rtlCol="0" anchor="t">
            <a:noAutofit/>
          </a:bodyPr>
          <a:lstStyle/>
          <a:p>
            <a:fld id="{5A91AE94-90C4-4B74-9DC9-03BA65ECF39A}" type="TxLink">
              <a:rPr lang="en-US" sz="800">
                <a:solidFill>
                  <a:schemeClr val="tx1">
                    <a:lumMod val="50000"/>
                    <a:lumOff val="50000"/>
                  </a:schemeClr>
                </a:solidFill>
              </a:rPr>
              <a:pPr/>
              <a:t>75%</a:t>
            </a:fld>
            <a:endParaRPr lang="en-U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50800</xdr:colOff>
      <xdr:row>3</xdr:row>
      <xdr:rowOff>47626</xdr:rowOff>
    </xdr:from>
    <xdr:to>
      <xdr:col>10</xdr:col>
      <xdr:colOff>17272</xdr:colOff>
      <xdr:row>3</xdr:row>
      <xdr:rowOff>372587</xdr:rowOff>
    </xdr:to>
    <xdr:sp macro="" textlink="Calculations!M3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4356100" y="914401"/>
          <a:ext cx="1490472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22EF62F3-A792-4FEA-B8B2-CBF6CDE18B97}" type="TxLink">
            <a:rPr lang="en-US" sz="16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ctr"/>
            <a:t>225 members</a:t>
          </a:fld>
          <a:endParaRPr lang="en-US" sz="16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10</xdr:col>
      <xdr:colOff>323850</xdr:colOff>
      <xdr:row>3</xdr:row>
      <xdr:rowOff>9525</xdr:rowOff>
    </xdr:from>
    <xdr:to>
      <xdr:col>12</xdr:col>
      <xdr:colOff>285750</xdr:colOff>
      <xdr:row>3</xdr:row>
      <xdr:rowOff>866775</xdr:rowOff>
    </xdr:to>
    <xdr:sp macro="" textlink="">
      <xdr:nvSpPr>
        <xdr:cNvPr id="75" name="Round Same Side Corner Rectangl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6153150" y="657225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596900</xdr:colOff>
      <xdr:row>3</xdr:row>
      <xdr:rowOff>9525</xdr:rowOff>
    </xdr:from>
    <xdr:to>
      <xdr:col>14</xdr:col>
      <xdr:colOff>558800</xdr:colOff>
      <xdr:row>3</xdr:row>
      <xdr:rowOff>866775</xdr:rowOff>
    </xdr:to>
    <xdr:sp macro="" textlink="">
      <xdr:nvSpPr>
        <xdr:cNvPr id="76" name="Round Same Side Corner Rectangl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7950200" y="876300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1">
            <a:lumMod val="20000"/>
            <a:lumOff val="80000"/>
          </a:schemeClr>
        </a:solidFill>
        <a:ln w="3175">
          <a:solidFill>
            <a:schemeClr val="accent1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107950</xdr:colOff>
      <xdr:row>3</xdr:row>
      <xdr:rowOff>9525</xdr:rowOff>
    </xdr:from>
    <xdr:to>
      <xdr:col>17</xdr:col>
      <xdr:colOff>641350</xdr:colOff>
      <xdr:row>3</xdr:row>
      <xdr:rowOff>866775</xdr:rowOff>
    </xdr:to>
    <xdr:sp macro="" textlink="">
      <xdr:nvSpPr>
        <xdr:cNvPr id="77" name="Round Same Side Corner Rectangl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9747250" y="657225"/>
          <a:ext cx="1485900" cy="857250"/>
        </a:xfrm>
        <a:prstGeom prst="round2SameRect">
          <a:avLst>
            <a:gd name="adj1" fmla="val 0"/>
            <a:gd name="adj2" fmla="val 5291"/>
          </a:avLst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accent3">
              <a:lumMod val="60000"/>
              <a:lumOff val="40000"/>
            </a:schemeClr>
          </a:solidFill>
        </a:ln>
        <a:effectLst>
          <a:outerShdw blurRad="50800" dist="38100" dir="5400000" sx="98000" sy="98000" algn="t" rotWithShape="0">
            <a:schemeClr val="tx1">
              <a:lumMod val="50000"/>
              <a:lumOff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3</xdr:row>
      <xdr:rowOff>361950</xdr:rowOff>
    </xdr:from>
    <xdr:to>
      <xdr:col>9</xdr:col>
      <xdr:colOff>657225</xdr:colOff>
      <xdr:row>4</xdr:row>
      <xdr:rowOff>19050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oneCellAnchor>
    <xdr:from>
      <xdr:col>8</xdr:col>
      <xdr:colOff>104775</xdr:colOff>
      <xdr:row>2</xdr:row>
      <xdr:rowOff>115203</xdr:rowOff>
    </xdr:from>
    <xdr:ext cx="1400175" cy="208647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4410075" y="781953"/>
          <a:ext cx="14001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TEAM</a:t>
          </a:r>
        </a:p>
      </xdr:txBody>
    </xdr:sp>
    <xdr:clientData/>
  </xdr:oneCellAnchor>
  <xdr:twoCellAnchor>
    <xdr:from>
      <xdr:col>10</xdr:col>
      <xdr:colOff>323850</xdr:colOff>
      <xdr:row>3</xdr:row>
      <xdr:rowOff>47626</xdr:rowOff>
    </xdr:from>
    <xdr:to>
      <xdr:col>12</xdr:col>
      <xdr:colOff>290322</xdr:colOff>
      <xdr:row>3</xdr:row>
      <xdr:rowOff>372587</xdr:rowOff>
    </xdr:to>
    <xdr:sp macro="" textlink="Calculations!U3">
      <xdr:nvSpPr>
        <xdr:cNvPr id="85" name="TextBox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6153150" y="914401"/>
          <a:ext cx="1490472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3FBCA307-0743-459C-B8CC-4BEEC11BA367}" type="TxLink">
            <a:rPr lang="en-US" sz="16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ctr"/>
            <a:t>25 Risks</a:t>
          </a:fld>
          <a:endParaRPr lang="en-US" sz="16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12</xdr:col>
      <xdr:colOff>596900</xdr:colOff>
      <xdr:row>3</xdr:row>
      <xdr:rowOff>47626</xdr:rowOff>
    </xdr:from>
    <xdr:to>
      <xdr:col>14</xdr:col>
      <xdr:colOff>563372</xdr:colOff>
      <xdr:row>3</xdr:row>
      <xdr:rowOff>372587</xdr:rowOff>
    </xdr:to>
    <xdr:sp macro="" textlink="Calculations!U4">
      <xdr:nvSpPr>
        <xdr:cNvPr id="108" name="TextBox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 txBox="1"/>
      </xdr:nvSpPr>
      <xdr:spPr>
        <a:xfrm>
          <a:off x="7950200" y="914401"/>
          <a:ext cx="1490472" cy="3249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ctr" anchorCtr="0">
          <a:noAutofit/>
        </a:bodyPr>
        <a:lstStyle/>
        <a:p>
          <a:pPr algn="ctr"/>
          <a:fld id="{100CBFC2-D93B-470D-9C11-17B64F30B360}" type="TxLink">
            <a:rPr lang="en-US" sz="16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ctr"/>
            <a:t>23 Open</a:t>
          </a:fld>
          <a:endParaRPr lang="en-US" sz="16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oneCellAnchor>
    <xdr:from>
      <xdr:col>10</xdr:col>
      <xdr:colOff>328443</xdr:colOff>
      <xdr:row>3</xdr:row>
      <xdr:rowOff>328613</xdr:rowOff>
    </xdr:from>
    <xdr:ext cx="1490472" cy="208647"/>
    <xdr:sp macro="" textlink="Sorting!J4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6157743" y="1319213"/>
          <a:ext cx="1490472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BBB3B933-136D-4168-BF0D-957FD8AEF42A}" type="TxLink"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pPr algn="ctr"/>
            <a:t>Most: CBM Development</a:t>
          </a:fld>
          <a:endParaRPr lang="en-US" sz="8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12</xdr:col>
      <xdr:colOff>602590</xdr:colOff>
      <xdr:row>3</xdr:row>
      <xdr:rowOff>328613</xdr:rowOff>
    </xdr:from>
    <xdr:ext cx="1490472" cy="208647"/>
    <xdr:sp macro="" textlink="Sorting!J5">
      <xdr:nvSpPr>
        <xdr:cNvPr id="109" name="TextBox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 txBox="1"/>
      </xdr:nvSpPr>
      <xdr:spPr>
        <a:xfrm>
          <a:off x="7955890" y="1319213"/>
          <a:ext cx="1490472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A3D1A137-3BBE-44DE-A508-1FBC31BF1A4F}" type="TxLink"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pPr algn="ctr"/>
            <a:t>Most: ABC Integration</a:t>
          </a:fld>
          <a:endParaRPr lang="en-US" sz="8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15</xdr:col>
      <xdr:colOff>152440</xdr:colOff>
      <xdr:row>3</xdr:row>
      <xdr:rowOff>142876</xdr:rowOff>
    </xdr:from>
    <xdr:to>
      <xdr:col>16</xdr:col>
      <xdr:colOff>390525</xdr:colOff>
      <xdr:row>3</xdr:row>
      <xdr:rowOff>762000</xdr:rowOff>
    </xdr:to>
    <xdr:sp macro="" textlink="Calculations!AI2">
      <xdr:nvSpPr>
        <xdr:cNvPr id="110" name="TextBox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 txBox="1"/>
      </xdr:nvSpPr>
      <xdr:spPr>
        <a:xfrm>
          <a:off x="9791740" y="742951"/>
          <a:ext cx="428585" cy="6191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r"/>
          <a:fld id="{3CC851CB-B24F-4EB3-BDFD-54631D931F02}" type="TxLink">
            <a:rPr lang="en-US" sz="105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pPr algn="r"/>
            <a:t>0
0
0
0</a:t>
          </a:fld>
          <a:endParaRPr lang="en-US" sz="105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j-lt"/>
          </a:endParaRPr>
        </a:p>
      </xdr:txBody>
    </xdr:sp>
    <xdr:clientData/>
  </xdr:twoCellAnchor>
  <xdr:twoCellAnchor>
    <xdr:from>
      <xdr:col>16</xdr:col>
      <xdr:colOff>409575</xdr:colOff>
      <xdr:row>3</xdr:row>
      <xdr:rowOff>142876</xdr:rowOff>
    </xdr:from>
    <xdr:to>
      <xdr:col>17</xdr:col>
      <xdr:colOff>609600</xdr:colOff>
      <xdr:row>3</xdr:row>
      <xdr:rowOff>762000</xdr:rowOff>
    </xdr:to>
    <xdr:sp macro="" textlink="Calculations!AJ2">
      <xdr:nvSpPr>
        <xdr:cNvPr id="111" name="TextBox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 txBox="1"/>
      </xdr:nvSpPr>
      <xdr:spPr>
        <a:xfrm>
          <a:off x="10239375" y="742951"/>
          <a:ext cx="962025" cy="6191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689F2D22-F727-4D1E-85CE-A1BD0433ACF6}" type="TxLink">
            <a:rPr lang="en-US" sz="105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</a:rPr>
            <a:pPr algn="l"/>
            <a:t> projects end
 activities start
 activities end
 issues due</a:t>
          </a:fld>
          <a:endParaRPr lang="en-US" sz="1050">
            <a:solidFill>
              <a:schemeClr val="tx1">
                <a:lumMod val="50000"/>
                <a:lumOff val="50000"/>
              </a:schemeClr>
            </a:solidFill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oneCellAnchor>
    <xdr:from>
      <xdr:col>10</xdr:col>
      <xdr:colOff>361950</xdr:colOff>
      <xdr:row>2</xdr:row>
      <xdr:rowOff>115203</xdr:rowOff>
    </xdr:from>
    <xdr:ext cx="1400175" cy="208647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 txBox="1"/>
      </xdr:nvSpPr>
      <xdr:spPr>
        <a:xfrm>
          <a:off x="6191250" y="781953"/>
          <a:ext cx="14001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RISKS</a:t>
          </a:r>
        </a:p>
      </xdr:txBody>
    </xdr:sp>
    <xdr:clientData/>
  </xdr:oneCellAnchor>
  <xdr:oneCellAnchor>
    <xdr:from>
      <xdr:col>12</xdr:col>
      <xdr:colOff>619125</xdr:colOff>
      <xdr:row>2</xdr:row>
      <xdr:rowOff>115203</xdr:rowOff>
    </xdr:from>
    <xdr:ext cx="1400175" cy="208647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 txBox="1"/>
      </xdr:nvSpPr>
      <xdr:spPr>
        <a:xfrm>
          <a:off x="7972425" y="781953"/>
          <a:ext cx="14001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ISSUES</a:t>
          </a:r>
        </a:p>
      </xdr:txBody>
    </xdr:sp>
    <xdr:clientData/>
  </xdr:oneCellAnchor>
  <xdr:oneCellAnchor>
    <xdr:from>
      <xdr:col>15</xdr:col>
      <xdr:colOff>57150</xdr:colOff>
      <xdr:row>2</xdr:row>
      <xdr:rowOff>115203</xdr:rowOff>
    </xdr:from>
    <xdr:ext cx="1609725" cy="208647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9696450" y="781953"/>
          <a:ext cx="160972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 b="0">
              <a:solidFill>
                <a:schemeClr val="tx1">
                  <a:lumMod val="50000"/>
                  <a:lumOff val="50000"/>
                </a:schemeClr>
              </a:solidFill>
            </a:rPr>
            <a:t>Next</a:t>
          </a:r>
          <a:r>
            <a:rPr lang="en-US" sz="800" b="0" baseline="0">
              <a:solidFill>
                <a:schemeClr val="tx1">
                  <a:lumMod val="50000"/>
                  <a:lumOff val="50000"/>
                </a:schemeClr>
              </a:solidFill>
            </a:rPr>
            <a:t> 6 monhts in below projects</a:t>
          </a:r>
          <a:endParaRPr lang="en-US" sz="8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18</xdr:col>
      <xdr:colOff>200025</xdr:colOff>
      <xdr:row>2</xdr:row>
      <xdr:rowOff>115203</xdr:rowOff>
    </xdr:from>
    <xdr:ext cx="1476375" cy="208647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1553825" y="781953"/>
          <a:ext cx="14763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SETTINGS</a:t>
          </a:r>
        </a:p>
      </xdr:txBody>
    </xdr:sp>
    <xdr:clientData/>
  </xdr:oneCellAnchor>
  <xdr:oneCellAnchor>
    <xdr:from>
      <xdr:col>1</xdr:col>
      <xdr:colOff>9525</xdr:colOff>
      <xdr:row>2</xdr:row>
      <xdr:rowOff>115203</xdr:rowOff>
    </xdr:from>
    <xdr:ext cx="1400175" cy="208647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771525" y="781953"/>
          <a:ext cx="1400175" cy="2086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PROJECTS</a:t>
          </a:r>
        </a:p>
      </xdr:txBody>
    </xdr:sp>
    <xdr:clientData/>
  </xdr:oneCellAnchor>
  <xdr:oneCellAnchor>
    <xdr:from>
      <xdr:col>18</xdr:col>
      <xdr:colOff>295275</xdr:colOff>
      <xdr:row>3</xdr:row>
      <xdr:rowOff>47626</xdr:rowOff>
    </xdr:from>
    <xdr:ext cx="942437" cy="1905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11649075" y="914401"/>
          <a:ext cx="942437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Sort Projects</a:t>
          </a:r>
        </a:p>
      </xdr:txBody>
    </xdr:sp>
    <xdr:clientData/>
  </xdr:oneCellAnchor>
  <xdr:oneCellAnchor>
    <xdr:from>
      <xdr:col>18</xdr:col>
      <xdr:colOff>295275</xdr:colOff>
      <xdr:row>3</xdr:row>
      <xdr:rowOff>432436</xdr:rowOff>
    </xdr:from>
    <xdr:ext cx="942437" cy="190500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11649075" y="1299211"/>
          <a:ext cx="942437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r>
            <a:rPr lang="en-US" sz="800">
              <a:solidFill>
                <a:schemeClr val="tx1">
                  <a:lumMod val="50000"/>
                  <a:lumOff val="50000"/>
                </a:schemeClr>
              </a:solidFill>
            </a:rPr>
            <a:t>Show Gantt by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8</xdr:col>
          <xdr:colOff>419100</xdr:colOff>
          <xdr:row>31</xdr:row>
          <xdr:rowOff>209550</xdr:rowOff>
        </xdr:to>
        <xdr:pic>
          <xdr:nvPicPr>
            <xdr:cNvPr id="120" name="Picture 119">
              <a:extLst>
                <a:ext uri="{FF2B5EF4-FFF2-40B4-BE49-F238E27FC236}">
                  <a16:creationId xmlns:a16="http://schemas.microsoft.com/office/drawing/2014/main" id="{00000000-0008-0000-0100-00007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O$21:$AA$21" spid="_x0000_s16150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762000" y="7134225"/>
              <a:ext cx="3962400" cy="209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15</xdr:col>
      <xdr:colOff>1</xdr:colOff>
      <xdr:row>31</xdr:row>
      <xdr:rowOff>0</xdr:rowOff>
    </xdr:from>
    <xdr:ext cx="3238500" cy="219075"/>
    <xdr:sp macro="" textlink="Calculations!B158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9639301" y="7134225"/>
          <a:ext cx="3238500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Ins="45720" rtlCol="0" anchor="ctr">
          <a:noAutofit/>
        </a:bodyPr>
        <a:lstStyle/>
        <a:p>
          <a:pPr algn="r"/>
          <a:fld id="{683F8653-D07F-4841-A515-BF83837DC9C4}" type="TxLink"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pPr algn="r"/>
            <a:t>Prepared by XYZ on 31, Aug 2021</a:t>
          </a:fld>
          <a:endParaRPr 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133786</xdr:colOff>
          <xdr:row>6</xdr:row>
          <xdr:rowOff>257176</xdr:rowOff>
        </xdr:from>
        <xdr:to>
          <xdr:col>19</xdr:col>
          <xdr:colOff>485576</xdr:colOff>
          <xdr:row>21</xdr:row>
          <xdr:rowOff>258446</xdr:rowOff>
        </xdr:to>
        <xdr:pic>
          <xdr:nvPicPr>
            <xdr:cNvPr id="124" name="prjGantt">
              <a:extLst>
                <a:ext uri="{FF2B5EF4-FFF2-40B4-BE49-F238E27FC236}">
                  <a16:creationId xmlns:a16="http://schemas.microsoft.com/office/drawing/2014/main" id="{00000000-0008-0000-0100-00007C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selGanttChart" spid="_x0000_s16151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 bwMode="auto">
            <a:xfrm>
              <a:off x="4293036" y="2532593"/>
              <a:ext cx="8321040" cy="3017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</xdr:col>
      <xdr:colOff>409575</xdr:colOff>
      <xdr:row>31</xdr:row>
      <xdr:rowOff>1</xdr:rowOff>
    </xdr:from>
    <xdr:ext cx="4924425" cy="219074"/>
    <xdr:sp macro="" textlink="Sorting!H7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4714875" y="7134226"/>
          <a:ext cx="4924425" cy="2190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Ins="45720" rtlCol="0" anchor="ctr">
          <a:noAutofit/>
        </a:bodyPr>
        <a:lstStyle/>
        <a:p>
          <a:pPr algn="ctr"/>
          <a:fld id="{25F76C65-19E8-4557-9C6E-92734B879C2B}" type="TxLink"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pPr algn="ctr"/>
            <a:t>Showing top 5 projects in original order</a:t>
          </a:fld>
          <a:endParaRPr 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6</xdr:row>
      <xdr:rowOff>9525</xdr:rowOff>
    </xdr:from>
    <xdr:ext cx="772071" cy="252249"/>
    <xdr:sp macro="" textlink="'Gantt View'!E6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305300" y="2152650"/>
          <a:ext cx="772071" cy="252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fld id="{919DD796-AC0E-449C-B2E3-8AE46BF1230C}" type="TxLink"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pPr/>
            <a:t>Weekly view</a:t>
          </a:fld>
          <a:endParaRPr 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10</xdr:col>
      <xdr:colOff>428625</xdr:colOff>
      <xdr:row>3</xdr:row>
      <xdr:rowOff>466725</xdr:rowOff>
    </xdr:from>
    <xdr:to>
      <xdr:col>12</xdr:col>
      <xdr:colOff>171450</xdr:colOff>
      <xdr:row>3</xdr:row>
      <xdr:rowOff>847725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714375</xdr:colOff>
      <xdr:row>3</xdr:row>
      <xdr:rowOff>485775</xdr:rowOff>
    </xdr:from>
    <xdr:to>
      <xdr:col>14</xdr:col>
      <xdr:colOff>457200</xdr:colOff>
      <xdr:row>3</xdr:row>
      <xdr:rowOff>866775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0</xdr:colOff>
      <xdr:row>0</xdr:row>
      <xdr:rowOff>42863</xdr:rowOff>
    </xdr:from>
    <xdr:ext cx="5067300" cy="50482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62000" y="42863"/>
          <a:ext cx="506730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5</xdr:row>
          <xdr:rowOff>0</xdr:rowOff>
        </xdr:from>
        <xdr:to>
          <xdr:col>0</xdr:col>
          <xdr:colOff>476250</xdr:colOff>
          <xdr:row>29</xdr:row>
          <xdr:rowOff>0</xdr:rowOff>
        </xdr:to>
        <xdr:sp macro="" textlink="">
          <xdr:nvSpPr>
            <xdr:cNvPr id="15422" name="Scroll Bar 1086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0</xdr:col>
      <xdr:colOff>276226</xdr:colOff>
      <xdr:row>5</xdr:row>
      <xdr:rowOff>0</xdr:rowOff>
    </xdr:from>
    <xdr:to>
      <xdr:col>0</xdr:col>
      <xdr:colOff>476250</xdr:colOff>
      <xdr:row>29</xdr:row>
      <xdr:rowOff>2286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276226" y="2009775"/>
          <a:ext cx="200024" cy="4974336"/>
        </a:xfrm>
        <a:prstGeom prst="rect">
          <a:avLst/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17</xdr:col>
      <xdr:colOff>350520</xdr:colOff>
      <xdr:row>0</xdr:row>
      <xdr:rowOff>176213</xdr:rowOff>
    </xdr:from>
    <xdr:to>
      <xdr:col>18</xdr:col>
      <xdr:colOff>133350</xdr:colOff>
      <xdr:row>0</xdr:row>
      <xdr:rowOff>414338</xdr:rowOff>
    </xdr:to>
    <xdr:sp macro="" textlink="">
      <xdr:nvSpPr>
        <xdr:cNvPr id="92" name="Rounded Rectangle 9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0951845" y="176213"/>
          <a:ext cx="544830" cy="238125"/>
        </a:xfrm>
        <a:prstGeom prst="roundRect">
          <a:avLst/>
        </a:prstGeom>
        <a:solidFill>
          <a:schemeClr val="tx2"/>
        </a:solidFill>
        <a:ln>
          <a:solidFill>
            <a:schemeClr val="tx2">
              <a:lumMod val="75000"/>
            </a:schemeClr>
          </a:solidFill>
        </a:ln>
        <a:effectLst>
          <a:innerShdw blurRad="50800" dist="38100" dir="16200000">
            <a:schemeClr val="tx1">
              <a:lumMod val="85000"/>
              <a:lumOff val="15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lIns="0" tIns="64008" rIns="0" bIns="45720" rtlCol="0" anchor="ctr"/>
        <a:lstStyle/>
        <a:p>
          <a:pPr algn="ctr"/>
          <a:r>
            <a:rPr lang="en-US" sz="900">
              <a:solidFill>
                <a:schemeClr val="accent1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schemeClr val="tx1">
                    <a:lumMod val="85000"/>
                    <a:lumOff val="15000"/>
                    <a:alpha val="40000"/>
                  </a:schemeClr>
                </a:outerShdw>
              </a:effectLst>
            </a:rPr>
            <a:t>Data</a:t>
          </a:r>
        </a:p>
      </xdr:txBody>
    </xdr:sp>
    <xdr:clientData fPrintsWithSheet="0"/>
  </xdr:twoCellAnchor>
  <xdr:twoCellAnchor editAs="oneCell">
    <xdr:from>
      <xdr:col>18</xdr:col>
      <xdr:colOff>360045</xdr:colOff>
      <xdr:row>0</xdr:row>
      <xdr:rowOff>176213</xdr:rowOff>
    </xdr:from>
    <xdr:to>
      <xdr:col>19</xdr:col>
      <xdr:colOff>142875</xdr:colOff>
      <xdr:row>0</xdr:row>
      <xdr:rowOff>414338</xdr:rowOff>
    </xdr:to>
    <xdr:sp macro="" textlink="">
      <xdr:nvSpPr>
        <xdr:cNvPr id="93" name="Rounded Rectangle 9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723370" y="176213"/>
          <a:ext cx="544830" cy="238125"/>
        </a:xfrm>
        <a:prstGeom prst="roundRect">
          <a:avLst/>
        </a:prstGeom>
        <a:solidFill>
          <a:schemeClr val="tx2"/>
        </a:solidFill>
        <a:ln>
          <a:solidFill>
            <a:schemeClr val="tx2">
              <a:lumMod val="75000"/>
            </a:schemeClr>
          </a:solidFill>
        </a:ln>
        <a:effectLst>
          <a:innerShdw blurRad="50800" dist="38100" dir="16200000">
            <a:schemeClr val="tx1">
              <a:lumMod val="85000"/>
              <a:lumOff val="15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lIns="0" tIns="64008" rIns="0" bIns="45720" rtlCol="0" anchor="ctr"/>
        <a:lstStyle/>
        <a:p>
          <a:pPr algn="ctr"/>
          <a:r>
            <a:rPr lang="en-US" sz="900">
              <a:solidFill>
                <a:schemeClr val="accent1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schemeClr val="tx1">
                    <a:lumMod val="85000"/>
                    <a:lumOff val="15000"/>
                    <a:alpha val="40000"/>
                  </a:schemeClr>
                </a:outerShdw>
              </a:effectLst>
            </a:rPr>
            <a:t>Settings</a:t>
          </a:r>
        </a:p>
      </xdr:txBody>
    </xdr:sp>
    <xdr:clientData fPrintsWithSheet="0"/>
  </xdr:twoCellAnchor>
  <xdr:twoCellAnchor editAs="oneCell">
    <xdr:from>
      <xdr:col>16</xdr:col>
      <xdr:colOff>340995</xdr:colOff>
      <xdr:row>0</xdr:row>
      <xdr:rowOff>176213</xdr:rowOff>
    </xdr:from>
    <xdr:to>
      <xdr:col>17</xdr:col>
      <xdr:colOff>123825</xdr:colOff>
      <xdr:row>0</xdr:row>
      <xdr:rowOff>414338</xdr:rowOff>
    </xdr:to>
    <xdr:sp macro="" textlink="">
      <xdr:nvSpPr>
        <xdr:cNvPr id="94" name="Rounded Rectangle 9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0180320" y="176213"/>
          <a:ext cx="544830" cy="238125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  <a:effectLst>
          <a:innerShdw blurRad="50800" dist="38100" dir="16200000">
            <a:schemeClr val="tx1">
              <a:lumMod val="85000"/>
              <a:lumOff val="15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lIns="0" tIns="64008" rIns="0" bIns="45720" rtlCol="0" anchor="ctr"/>
        <a:lstStyle/>
        <a:p>
          <a:pPr algn="ctr"/>
          <a:r>
            <a:rPr lang="en-US" sz="900">
              <a:solidFill>
                <a:schemeClr val="bg1"/>
              </a:solidFill>
              <a:effectLst>
                <a:outerShdw blurRad="50800" dist="38100" dir="5400000" algn="t" rotWithShape="0">
                  <a:schemeClr val="tx1">
                    <a:lumMod val="85000"/>
                    <a:lumOff val="15000"/>
                    <a:alpha val="40000"/>
                  </a:schemeClr>
                </a:outerShdw>
              </a:effectLst>
              <a:latin typeface="+mn-lt"/>
            </a:rPr>
            <a:t>Home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7068800" cy="581025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323848</xdr:colOff>
      <xdr:row>0</xdr:row>
      <xdr:rowOff>0</xdr:rowOff>
    </xdr:from>
    <xdr:ext cx="8972551" cy="5048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14348" y="0"/>
          <a:ext cx="8972551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&gt;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Project &amp; Team Details</a:t>
          </a:r>
        </a:p>
      </xdr:txBody>
    </xdr:sp>
    <xdr:clientData/>
  </xdr:oneCellAnchor>
  <xdr:twoCellAnchor>
    <xdr:from>
      <xdr:col>5</xdr:col>
      <xdr:colOff>1111250</xdr:colOff>
      <xdr:row>0</xdr:row>
      <xdr:rowOff>166688</xdr:rowOff>
    </xdr:from>
    <xdr:to>
      <xdr:col>6</xdr:col>
      <xdr:colOff>387350</xdr:colOff>
      <xdr:row>0</xdr:row>
      <xdr:rowOff>404813</xdr:rowOff>
    </xdr:to>
    <xdr:sp macro="" textlink="">
      <xdr:nvSpPr>
        <xdr:cNvPr id="7" name="Rounded 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083675" y="166688"/>
          <a:ext cx="7905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Settings</a:t>
          </a:r>
        </a:p>
      </xdr:txBody>
    </xdr:sp>
    <xdr:clientData/>
  </xdr:twoCellAnchor>
  <xdr:twoCellAnchor>
    <xdr:from>
      <xdr:col>6</xdr:col>
      <xdr:colOff>1390650</xdr:colOff>
      <xdr:row>0</xdr:row>
      <xdr:rowOff>166688</xdr:rowOff>
    </xdr:from>
    <xdr:to>
      <xdr:col>7</xdr:col>
      <xdr:colOff>695325</xdr:colOff>
      <xdr:row>0</xdr:row>
      <xdr:rowOff>404813</xdr:rowOff>
    </xdr:to>
    <xdr:sp macro="" textlink="">
      <xdr:nvSpPr>
        <xdr:cNvPr id="8" name="Rounded 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877550" y="166688"/>
          <a:ext cx="819150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&lt;&lt; Home</a:t>
          </a:r>
        </a:p>
      </xdr:txBody>
    </xdr:sp>
    <xdr:clientData/>
  </xdr:twoCellAnchor>
  <xdr:twoCellAnchor>
    <xdr:from>
      <xdr:col>4</xdr:col>
      <xdr:colOff>2333625</xdr:colOff>
      <xdr:row>0</xdr:row>
      <xdr:rowOff>166688</xdr:rowOff>
    </xdr:from>
    <xdr:to>
      <xdr:col>5</xdr:col>
      <xdr:colOff>942975</xdr:colOff>
      <xdr:row>0</xdr:row>
      <xdr:rowOff>404813</xdr:rowOff>
    </xdr:to>
    <xdr:sp macro="" textlink="">
      <xdr:nvSpPr>
        <xdr:cNvPr id="9" name="Rounded 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867650" y="166688"/>
          <a:ext cx="1047750" cy="238125"/>
        </a:xfrm>
        <a:prstGeom prst="roundRect">
          <a:avLst/>
        </a:prstGeom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647700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7068800" cy="581025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257173</xdr:colOff>
      <xdr:row>0</xdr:row>
      <xdr:rowOff>0</xdr:rowOff>
    </xdr:from>
    <xdr:ext cx="8972551" cy="5048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14348" y="0"/>
          <a:ext cx="8972551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&gt;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Project Plans</a:t>
          </a:r>
        </a:p>
      </xdr:txBody>
    </xdr:sp>
    <xdr:clientData/>
  </xdr:oneCellAnchor>
  <xdr:twoCellAnchor>
    <xdr:from>
      <xdr:col>9</xdr:col>
      <xdr:colOff>873919</xdr:colOff>
      <xdr:row>0</xdr:row>
      <xdr:rowOff>150019</xdr:rowOff>
    </xdr:from>
    <xdr:to>
      <xdr:col>10</xdr:col>
      <xdr:colOff>931069</xdr:colOff>
      <xdr:row>0</xdr:row>
      <xdr:rowOff>388144</xdr:rowOff>
    </xdr:to>
    <xdr:sp macro="" textlink="">
      <xdr:nvSpPr>
        <xdr:cNvPr id="6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036719" y="150019"/>
          <a:ext cx="13239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Data</a:t>
          </a:r>
          <a:r>
            <a:rPr lang="en-US" sz="1000" baseline="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 Entry Sheets</a:t>
          </a:r>
          <a:endParaRPr lang="en-US" sz="10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1081088</xdr:colOff>
      <xdr:row>0</xdr:row>
      <xdr:rowOff>150019</xdr:rowOff>
    </xdr:from>
    <xdr:to>
      <xdr:col>11</xdr:col>
      <xdr:colOff>785813</xdr:colOff>
      <xdr:row>0</xdr:row>
      <xdr:rowOff>388144</xdr:rowOff>
    </xdr:to>
    <xdr:sp macro="" textlink="">
      <xdr:nvSpPr>
        <xdr:cNvPr id="7" name="Rounded 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510713" y="150019"/>
          <a:ext cx="7905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Settings</a:t>
          </a:r>
        </a:p>
      </xdr:txBody>
    </xdr:sp>
    <xdr:clientData/>
  </xdr:twoCellAnchor>
  <xdr:twoCellAnchor>
    <xdr:from>
      <xdr:col>12</xdr:col>
      <xdr:colOff>742950</xdr:colOff>
      <xdr:row>0</xdr:row>
      <xdr:rowOff>150019</xdr:rowOff>
    </xdr:from>
    <xdr:to>
      <xdr:col>13</xdr:col>
      <xdr:colOff>476250</xdr:colOff>
      <xdr:row>0</xdr:row>
      <xdr:rowOff>388144</xdr:rowOff>
    </xdr:to>
    <xdr:sp macro="" textlink="">
      <xdr:nvSpPr>
        <xdr:cNvPr id="8" name="Rounded 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268075" y="150019"/>
          <a:ext cx="819150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&lt;&lt; Home</a:t>
          </a:r>
        </a:p>
      </xdr:txBody>
    </xdr:sp>
    <xdr:clientData/>
  </xdr:twoCellAnchor>
  <xdr:twoCellAnchor>
    <xdr:from>
      <xdr:col>7</xdr:col>
      <xdr:colOff>76200</xdr:colOff>
      <xdr:row>0</xdr:row>
      <xdr:rowOff>150019</xdr:rowOff>
    </xdr:from>
    <xdr:to>
      <xdr:col>9</xdr:col>
      <xdr:colOff>723900</xdr:colOff>
      <xdr:row>0</xdr:row>
      <xdr:rowOff>388144</xdr:rowOff>
    </xdr:to>
    <xdr:sp macro="" textlink="">
      <xdr:nvSpPr>
        <xdr:cNvPr id="9" name="Rounded 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838950" y="150019"/>
          <a:ext cx="1047750" cy="238125"/>
        </a:xfrm>
        <a:prstGeom prst="roundRect">
          <a:avLst/>
        </a:prstGeom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0</xdr:row>
      <xdr:rowOff>581025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17640300" cy="581025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266698</xdr:colOff>
      <xdr:row>0</xdr:row>
      <xdr:rowOff>0</xdr:rowOff>
    </xdr:from>
    <xdr:ext cx="8972551" cy="5048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14348" y="0"/>
          <a:ext cx="8972551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&gt;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Risks &amp; Issues</a:t>
          </a:r>
        </a:p>
      </xdr:txBody>
    </xdr:sp>
    <xdr:clientData/>
  </xdr:oneCellAnchor>
  <xdr:twoCellAnchor>
    <xdr:from>
      <xdr:col>4</xdr:col>
      <xdr:colOff>1809750</xdr:colOff>
      <xdr:row>0</xdr:row>
      <xdr:rowOff>147638</xdr:rowOff>
    </xdr:from>
    <xdr:to>
      <xdr:col>4</xdr:col>
      <xdr:colOff>2857500</xdr:colOff>
      <xdr:row>0</xdr:row>
      <xdr:rowOff>385763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743700" y="147638"/>
          <a:ext cx="1047750" cy="238125"/>
        </a:xfrm>
        <a:prstGeom prst="roundRect">
          <a:avLst/>
        </a:prstGeom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t>Dashboard</a:t>
          </a:r>
        </a:p>
      </xdr:txBody>
    </xdr:sp>
    <xdr:clientData/>
  </xdr:twoCellAnchor>
  <xdr:twoCellAnchor>
    <xdr:from>
      <xdr:col>5</xdr:col>
      <xdr:colOff>145256</xdr:colOff>
      <xdr:row>0</xdr:row>
      <xdr:rowOff>147638</xdr:rowOff>
    </xdr:from>
    <xdr:to>
      <xdr:col>8</xdr:col>
      <xdr:colOff>250031</xdr:colOff>
      <xdr:row>0</xdr:row>
      <xdr:rowOff>385763</xdr:rowOff>
    </xdr:to>
    <xdr:sp macro="" textlink="">
      <xdr:nvSpPr>
        <xdr:cNvPr id="6" name="Rounded 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965281" y="147638"/>
          <a:ext cx="13239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Data</a:t>
          </a:r>
          <a:r>
            <a:rPr lang="en-US" sz="1000" baseline="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 Entry Sheets</a:t>
          </a:r>
          <a:endParaRPr lang="en-US" sz="10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423862</xdr:colOff>
      <xdr:row>0</xdr:row>
      <xdr:rowOff>147638</xdr:rowOff>
    </xdr:from>
    <xdr:to>
      <xdr:col>9</xdr:col>
      <xdr:colOff>776287</xdr:colOff>
      <xdr:row>0</xdr:row>
      <xdr:rowOff>385763</xdr:rowOff>
    </xdr:to>
    <xdr:sp macro="" textlink="">
      <xdr:nvSpPr>
        <xdr:cNvPr id="7" name="Rounded 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9463087" y="147638"/>
          <a:ext cx="7905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Settings</a:t>
          </a:r>
        </a:p>
      </xdr:txBody>
    </xdr:sp>
    <xdr:clientData/>
  </xdr:twoCellAnchor>
  <xdr:twoCellAnchor>
    <xdr:from>
      <xdr:col>10</xdr:col>
      <xdr:colOff>428625</xdr:colOff>
      <xdr:row>0</xdr:row>
      <xdr:rowOff>147638</xdr:rowOff>
    </xdr:from>
    <xdr:to>
      <xdr:col>10</xdr:col>
      <xdr:colOff>1247775</xdr:colOff>
      <xdr:row>0</xdr:row>
      <xdr:rowOff>385763</xdr:rowOff>
    </xdr:to>
    <xdr:sp macro="" textlink="">
      <xdr:nvSpPr>
        <xdr:cNvPr id="8" name="Rounded 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1268075" y="147638"/>
          <a:ext cx="819150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&lt;&lt;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7019925" cy="571500"/>
        </a:xfrm>
        <a:prstGeom prst="rect">
          <a:avLst/>
        </a:prstGeom>
        <a:solidFill>
          <a:srgbClr val="0070C0"/>
        </a:solidFill>
        <a:ln>
          <a:noFill/>
        </a:ln>
        <a:effectLst>
          <a:innerShdw blurRad="76200" dist="38100" dir="5400000">
            <a:schemeClr val="tx2">
              <a:lumMod val="50000"/>
              <a:alpha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209549</xdr:colOff>
      <xdr:row>0</xdr:row>
      <xdr:rowOff>0</xdr:rowOff>
    </xdr:from>
    <xdr:ext cx="6505576" cy="5048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14349" y="0"/>
          <a:ext cx="6505576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tlCol="0" anchor="ctr">
          <a:noAutofit/>
        </a:bodyPr>
        <a:lstStyle/>
        <a:p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Project Portfolio Dashboard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&gt;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en-US" sz="2400">
              <a:ln>
                <a:solidFill>
                  <a:schemeClr val="accent1">
                    <a:lumMod val="20000"/>
                    <a:lumOff val="80000"/>
                  </a:schemeClr>
                </a:solidFill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Settings</a:t>
          </a:r>
        </a:p>
      </xdr:txBody>
    </xdr:sp>
    <xdr:clientData/>
  </xdr:oneCellAnchor>
  <xdr:twoCellAnchor>
    <xdr:from>
      <xdr:col>9</xdr:col>
      <xdr:colOff>752475</xdr:colOff>
      <xdr:row>1</xdr:row>
      <xdr:rowOff>168275</xdr:rowOff>
    </xdr:from>
    <xdr:to>
      <xdr:col>11</xdr:col>
      <xdr:colOff>552450</xdr:colOff>
      <xdr:row>3</xdr:row>
      <xdr:rowOff>6350</xdr:rowOff>
    </xdr:to>
    <xdr:sp macro="" textlink="">
      <xdr:nvSpPr>
        <xdr:cNvPr id="6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772400" y="739775"/>
          <a:ext cx="1323975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Data</a:t>
          </a:r>
          <a:r>
            <a:rPr lang="en-US" sz="1000" baseline="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 Entry Sheets</a:t>
          </a:r>
          <a:endParaRPr lang="en-US" sz="1000"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752475</xdr:colOff>
      <xdr:row>4</xdr:row>
      <xdr:rowOff>161925</xdr:rowOff>
    </xdr:from>
    <xdr:to>
      <xdr:col>11</xdr:col>
      <xdr:colOff>47625</xdr:colOff>
      <xdr:row>6</xdr:row>
      <xdr:rowOff>0</xdr:rowOff>
    </xdr:to>
    <xdr:sp macro="" textlink="">
      <xdr:nvSpPr>
        <xdr:cNvPr id="8" name="Rounded 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772400" y="1552575"/>
          <a:ext cx="819150" cy="2381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t>&lt;&lt; Home</a:t>
          </a:r>
        </a:p>
      </xdr:txBody>
    </xdr:sp>
    <xdr:clientData/>
  </xdr:twoCellAnchor>
  <xdr:twoCellAnchor>
    <xdr:from>
      <xdr:col>10</xdr:col>
      <xdr:colOff>0</xdr:colOff>
      <xdr:row>0</xdr:row>
      <xdr:rowOff>333375</xdr:rowOff>
    </xdr:from>
    <xdr:to>
      <xdr:col>11</xdr:col>
      <xdr:colOff>285750</xdr:colOff>
      <xdr:row>1</xdr:row>
      <xdr:rowOff>0</xdr:rowOff>
    </xdr:to>
    <xdr:sp macro="" textlink="">
      <xdr:nvSpPr>
        <xdr:cNvPr id="9" name="Rounded 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781925" y="333375"/>
          <a:ext cx="1047750" cy="238125"/>
        </a:xfrm>
        <a:prstGeom prst="roundRect">
          <a:avLst/>
        </a:prstGeom>
        <a:effectLst>
          <a:innerShdw blurRad="63500" dist="50800" dir="5400000">
            <a:schemeClr val="tx1">
              <a:lumMod val="50000"/>
              <a:lumOff val="50000"/>
              <a:alpha val="50000"/>
            </a:schemeClr>
          </a:inn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0070C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j-lt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4</xdr:row>
          <xdr:rowOff>9525</xdr:rowOff>
        </xdr:from>
        <xdr:to>
          <xdr:col>104</xdr:col>
          <xdr:colOff>76200</xdr:colOff>
          <xdr:row>4</xdr:row>
          <xdr:rowOff>190500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tblProjects" displayName="tblProjects" ref="B5:L13" totalsRowShown="0">
  <tableColumns count="11">
    <tableColumn id="1" xr3:uid="{00000000-0010-0000-0000-000001000000}" name="ID" dataDxfId="68"/>
    <tableColumn id="2" xr3:uid="{00000000-0010-0000-0000-000002000000}" name="Project Name"/>
    <tableColumn id="3" xr3:uid="{00000000-0010-0000-0000-000003000000}" name="Project Owner"/>
    <tableColumn id="4" xr3:uid="{00000000-0010-0000-0000-000004000000}" name="Email" dataDxfId="67"/>
    <tableColumn id="5" xr3:uid="{00000000-0010-0000-0000-000005000000}" name="Phone" dataDxfId="66"/>
    <tableColumn id="7" xr3:uid="{00000000-0010-0000-0000-000007000000}" name="Budget ($)" dataCellStyle="Currency"/>
    <tableColumn id="6" xr3:uid="{00000000-0010-0000-0000-000006000000}" name="Spent ($)" dataDxfId="65" dataCellStyle="Currency"/>
    <tableColumn id="8" xr3:uid="{00000000-0010-0000-0000-000008000000}" name="Deadline" dataDxfId="64"/>
    <tableColumn id="9" xr3:uid="{00000000-0010-0000-0000-000009000000}" name="% Done" dataCellStyle="Percent"/>
    <tableColumn id="10" xr3:uid="{00000000-0010-0000-0000-00000A000000}" name="Team Size" dataDxfId="63"/>
    <tableColumn id="11" xr3:uid="{00000000-0010-0000-0000-00000B000000}" name="Comments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1000000}" name="tblTeam" displayName="tblTeam" ref="B36:E52" totalsRowShown="0" headerRowDxfId="61" dataDxfId="60">
  <autoFilter ref="B36:E52" xr:uid="{00000000-0009-0000-0100-00000D000000}"/>
  <tableColumns count="4">
    <tableColumn id="1" xr3:uid="{00000000-0010-0000-0100-000001000000}" name="ID" dataDxfId="59"/>
    <tableColumn id="2" xr3:uid="{00000000-0010-0000-0100-000002000000}" name="Name"/>
    <tableColumn id="3" xr3:uid="{00000000-0010-0000-0100-000003000000}" name="Email Address"/>
    <tableColumn id="4" xr3:uid="{00000000-0010-0000-0100-000004000000}" name="Ph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plan1" displayName="plan1" ref="B5:G45" totalsRowShown="0" headerRowDxfId="58">
  <tableColumns count="6">
    <tableColumn id="1" xr3:uid="{00000000-0010-0000-0200-000001000000}" name="Activity"/>
    <tableColumn id="2" xr3:uid="{00000000-0010-0000-0200-000002000000}" name="Start Date" dataDxfId="57"/>
    <tableColumn id="3" xr3:uid="{00000000-0010-0000-0200-000003000000}" name="Duration"/>
    <tableColumn id="4" xr3:uid="{00000000-0010-0000-0200-000004000000}" name="% done" dataDxfId="56" dataCellStyle="Percent"/>
    <tableColumn id="5" xr3:uid="{00000000-0010-0000-0200-000005000000}" name="Budget ($)"/>
    <tableColumn id="6" xr3:uid="{00000000-0010-0000-0200-000006000000}" name="Actual ($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plan2" displayName="plan2" ref="J5:O45" totalsRowShown="0" headerRowDxfId="55">
  <tableColumns count="6">
    <tableColumn id="1" xr3:uid="{00000000-0010-0000-0300-000001000000}" name="Activity"/>
    <tableColumn id="2" xr3:uid="{00000000-0010-0000-0300-000002000000}" name="Start Date" dataDxfId="54"/>
    <tableColumn id="3" xr3:uid="{00000000-0010-0000-0300-000003000000}" name="Duration"/>
    <tableColumn id="4" xr3:uid="{00000000-0010-0000-0300-000004000000}" name="% done" dataDxfId="53" dataCellStyle="Percent"/>
    <tableColumn id="5" xr3:uid="{00000000-0010-0000-0300-000005000000}" name="Budget ($)"/>
    <tableColumn id="6" xr3:uid="{00000000-0010-0000-0300-000006000000}" name="Actual ($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plan3" displayName="plan3" ref="R5:W30" totalsRowShown="0" headerRowDxfId="52">
  <tableColumns count="6">
    <tableColumn id="1" xr3:uid="{00000000-0010-0000-0400-000001000000}" name="Activity"/>
    <tableColumn id="2" xr3:uid="{00000000-0010-0000-0400-000002000000}" name="Start Date" dataDxfId="51"/>
    <tableColumn id="3" xr3:uid="{00000000-0010-0000-0400-000003000000}" name="Duration"/>
    <tableColumn id="4" xr3:uid="{00000000-0010-0000-0400-000004000000}" name="% done" dataDxfId="50" dataCellStyle="Percent"/>
    <tableColumn id="5" xr3:uid="{00000000-0010-0000-0400-000005000000}" name="Budget ($)"/>
    <tableColumn id="6" xr3:uid="{00000000-0010-0000-0400-000006000000}" name="Actual ($)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plan4" displayName="plan4" ref="Z5:AE45" totalsRowShown="0" headerRowDxfId="49">
  <tableColumns count="6">
    <tableColumn id="1" xr3:uid="{00000000-0010-0000-0500-000001000000}" name="Activity"/>
    <tableColumn id="2" xr3:uid="{00000000-0010-0000-0500-000002000000}" name="Start Date" dataDxfId="48"/>
    <tableColumn id="3" xr3:uid="{00000000-0010-0000-0500-000003000000}" name="Duration"/>
    <tableColumn id="4" xr3:uid="{00000000-0010-0000-0500-000004000000}" name="% done" dataDxfId="47" dataCellStyle="Percent"/>
    <tableColumn id="5" xr3:uid="{00000000-0010-0000-0500-000005000000}" name="Budget ($)"/>
    <tableColumn id="6" xr3:uid="{00000000-0010-0000-0500-000006000000}" name="Actual ($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plan5" displayName="plan5" ref="AH5:AM45" totalsRowShown="0" headerRowDxfId="46">
  <tableColumns count="6">
    <tableColumn id="1" xr3:uid="{00000000-0010-0000-0600-000001000000}" name="Activity"/>
    <tableColumn id="2" xr3:uid="{00000000-0010-0000-0600-000002000000}" name="Start Date" dataDxfId="45"/>
    <tableColumn id="3" xr3:uid="{00000000-0010-0000-0600-000003000000}" name="Duration"/>
    <tableColumn id="4" xr3:uid="{00000000-0010-0000-0600-000004000000}" name="% done" dataDxfId="44" dataCellStyle="Percent"/>
    <tableColumn id="5" xr3:uid="{00000000-0010-0000-0600-000005000000}" name="Budget ($)"/>
    <tableColumn id="6" xr3:uid="{00000000-0010-0000-0600-000006000000}" name="Actual ($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plan6" displayName="plan6" ref="AP5:AU45" totalsRowShown="0" headerRowDxfId="43">
  <tableColumns count="6">
    <tableColumn id="1" xr3:uid="{00000000-0010-0000-0700-000001000000}" name="Activity"/>
    <tableColumn id="2" xr3:uid="{00000000-0010-0000-0700-000002000000}" name="Start Date" dataDxfId="42"/>
    <tableColumn id="3" xr3:uid="{00000000-0010-0000-0700-000003000000}" name="Duration"/>
    <tableColumn id="4" xr3:uid="{00000000-0010-0000-0700-000004000000}" name="% done" dataDxfId="41" dataCellStyle="Percent"/>
    <tableColumn id="5" xr3:uid="{00000000-0010-0000-0700-000005000000}" name="Budget ($)"/>
    <tableColumn id="6" xr3:uid="{00000000-0010-0000-0700-000006000000}" name="Actual ($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plan7" displayName="plan7" ref="AX5:BC45" totalsRowShown="0" headerRowDxfId="40">
  <tableColumns count="6">
    <tableColumn id="1" xr3:uid="{00000000-0010-0000-0800-000001000000}" name="Activity"/>
    <tableColumn id="2" xr3:uid="{00000000-0010-0000-0800-000002000000}" name="Start Date" dataDxfId="39"/>
    <tableColumn id="3" xr3:uid="{00000000-0010-0000-0800-000003000000}" name="Duration"/>
    <tableColumn id="4" xr3:uid="{00000000-0010-0000-0800-000004000000}" name="% done" dataDxfId="38" dataCellStyle="Percent"/>
    <tableColumn id="5" xr3:uid="{00000000-0010-0000-0800-000005000000}" name="Budget ($)"/>
    <tableColumn id="6" xr3:uid="{00000000-0010-0000-0800-000006000000}" name="Actual ($)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plan8" displayName="plan8" ref="BF5:BK45" totalsRowShown="0" headerRowDxfId="37">
  <tableColumns count="6">
    <tableColumn id="1" xr3:uid="{00000000-0010-0000-0900-000001000000}" name="Activity"/>
    <tableColumn id="2" xr3:uid="{00000000-0010-0000-0900-000002000000}" name="Start Date" dataDxfId="36"/>
    <tableColumn id="3" xr3:uid="{00000000-0010-0000-0900-000003000000}" name="Duration"/>
    <tableColumn id="4" xr3:uid="{00000000-0010-0000-0900-000004000000}" name="% done" dataDxfId="35" dataCellStyle="Percent"/>
    <tableColumn id="5" xr3:uid="{00000000-0010-0000-0900-000005000000}" name="Budget ($)"/>
    <tableColumn id="6" xr3:uid="{00000000-0010-0000-0900-000006000000}" name="Actual ($)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plan9" displayName="plan9" ref="BN5:BS45" totalsRowShown="0" headerRowDxfId="34">
  <tableColumns count="6">
    <tableColumn id="1" xr3:uid="{00000000-0010-0000-0A00-000001000000}" name="Activity"/>
    <tableColumn id="2" xr3:uid="{00000000-0010-0000-0A00-000002000000}" name="Start Date" dataDxfId="33"/>
    <tableColumn id="3" xr3:uid="{00000000-0010-0000-0A00-000003000000}" name="Duration"/>
    <tableColumn id="4" xr3:uid="{00000000-0010-0000-0A00-000004000000}" name="% done" dataDxfId="32" dataCellStyle="Percent"/>
    <tableColumn id="5" xr3:uid="{00000000-0010-0000-0A00-000005000000}" name="Budget ($)"/>
    <tableColumn id="6" xr3:uid="{00000000-0010-0000-0A00-000006000000}" name="Actual ($)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plan10" displayName="plan10" ref="BV5:CA45" totalsRowShown="0" headerRowDxfId="31">
  <tableColumns count="6">
    <tableColumn id="1" xr3:uid="{00000000-0010-0000-0B00-000001000000}" name="Activity"/>
    <tableColumn id="2" xr3:uid="{00000000-0010-0000-0B00-000002000000}" name="Start Date" dataDxfId="30"/>
    <tableColumn id="3" xr3:uid="{00000000-0010-0000-0B00-000003000000}" name="Duration"/>
    <tableColumn id="4" xr3:uid="{00000000-0010-0000-0B00-000004000000}" name="% done" dataDxfId="29" dataCellStyle="Percent"/>
    <tableColumn id="5" xr3:uid="{00000000-0010-0000-0B00-000005000000}" name="Budget ($)"/>
    <tableColumn id="6" xr3:uid="{00000000-0010-0000-0B00-000006000000}" name="Actual ($)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tblIssues" displayName="tblIssues" ref="I3:O28" totalsRowShown="0" headerRowDxfId="28" dataDxfId="27">
  <tableColumns count="7">
    <tableColumn id="1" xr3:uid="{00000000-0010-0000-0C00-000001000000}" name="ID" dataDxfId="26"/>
    <tableColumn id="2" xr3:uid="{00000000-0010-0000-0C00-000002000000}" name="In Project" dataDxfId="25"/>
    <tableColumn id="3" xr3:uid="{00000000-0010-0000-0C00-000003000000}" name="Description" dataDxfId="24"/>
    <tableColumn id="4" xr3:uid="{00000000-0010-0000-0C00-000004000000}" name="Assigned to" dataDxfId="23"/>
    <tableColumn id="5" xr3:uid="{00000000-0010-0000-0C00-000005000000}" name="Criticality" dataDxfId="22"/>
    <tableColumn id="6" xr3:uid="{00000000-0010-0000-0C00-000006000000}" name="Due date" dataDxfId="21"/>
    <tableColumn id="7" xr3:uid="{00000000-0010-0000-0C00-000007000000}" name="Closed?" dataDxfId="2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tblRisks" displayName="tblRisks" ref="B3:F28" totalsRowShown="0" headerRowDxfId="19" dataDxfId="18">
  <tableColumns count="5">
    <tableColumn id="1" xr3:uid="{00000000-0010-0000-0D00-000001000000}" name="ID" dataDxfId="17"/>
    <tableColumn id="2" xr3:uid="{00000000-0010-0000-0D00-000002000000}" name="In Project" dataDxfId="16"/>
    <tableColumn id="3" xr3:uid="{00000000-0010-0000-0D00-000003000000}" name="Risk Description" dataDxfId="15"/>
    <tableColumn id="4" xr3:uid="{00000000-0010-0000-0D00-000004000000}" name="Mitigation Plan" dataDxfId="14"/>
    <tableColumn id="5" xr3:uid="{00000000-0010-0000-0D00-000005000000}" name="Severity" dataDxfId="1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E000000}" name="tblHolidays" displayName="tblHolidays" ref="B5:C11" totalsRowShown="0">
  <tableColumns count="2">
    <tableColumn id="1" xr3:uid="{00000000-0010-0000-0E00-000001000000}" name="Date" dataDxfId="12"/>
    <tableColumn id="2" xr3:uid="{00000000-0010-0000-0E00-000002000000}" name="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pd-theme1">
      <a:majorFont>
        <a:latin typeface="Franklin Gothic Demi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xyz@mail.com" TargetMode="Externa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theme="4" tint="0.39997558519241921"/>
  </sheetPr>
  <dimension ref="B5:S17"/>
  <sheetViews>
    <sheetView showGridLines="0" tabSelected="1" workbookViewId="0">
      <selection activeCell="C8" sqref="C8"/>
    </sheetView>
  </sheetViews>
  <sheetFormatPr defaultRowHeight="15.75" x14ac:dyDescent="0.3"/>
  <cols>
    <col min="1" max="1" width="2.6640625" customWidth="1"/>
    <col min="2" max="2" width="3.33203125" customWidth="1"/>
  </cols>
  <sheetData>
    <row r="5" spans="2:19" x14ac:dyDescent="0.3">
      <c r="B5" t="s">
        <v>238</v>
      </c>
    </row>
    <row r="7" spans="2:19" ht="27" customHeight="1" x14ac:dyDescent="0.3">
      <c r="B7" s="170">
        <v>1</v>
      </c>
      <c r="C7" s="167" t="s">
        <v>248</v>
      </c>
      <c r="D7" s="167"/>
      <c r="E7" s="167"/>
      <c r="F7" s="167"/>
      <c r="G7" s="167"/>
      <c r="H7" s="166"/>
      <c r="I7" s="168" t="str">
        <f>Calculations!C4&amp;" projects specified"</f>
        <v>8 projects specified</v>
      </c>
      <c r="J7" s="167"/>
      <c r="K7" s="167"/>
      <c r="L7" s="165"/>
      <c r="M7" s="165"/>
      <c r="N7" s="165"/>
      <c r="O7" s="165"/>
      <c r="P7" s="165"/>
      <c r="Q7" s="165"/>
      <c r="R7" s="165"/>
      <c r="S7" s="165"/>
    </row>
    <row r="8" spans="2:19" ht="27" customHeight="1" x14ac:dyDescent="0.3">
      <c r="B8" s="170">
        <v>2</v>
      </c>
      <c r="C8" s="167" t="s">
        <v>239</v>
      </c>
      <c r="D8" s="167"/>
      <c r="E8" s="167"/>
      <c r="F8" s="167"/>
      <c r="G8" s="167"/>
      <c r="H8" s="166"/>
      <c r="I8" s="168" t="str">
        <f>COUNTA('Project Plans'!2:2)&amp;" plans specified"</f>
        <v>10 plans specified</v>
      </c>
      <c r="J8" s="167"/>
      <c r="K8" s="167"/>
      <c r="L8" s="165"/>
      <c r="M8" s="165"/>
      <c r="N8" s="165"/>
      <c r="O8" s="165"/>
      <c r="P8" s="165"/>
      <c r="Q8" s="165"/>
      <c r="R8" s="165"/>
      <c r="S8" s="165"/>
    </row>
    <row r="9" spans="2:19" ht="27" customHeight="1" x14ac:dyDescent="0.3">
      <c r="B9" s="170">
        <v>3</v>
      </c>
      <c r="C9" s="167" t="s">
        <v>240</v>
      </c>
      <c r="D9" s="167"/>
      <c r="E9" s="167"/>
      <c r="F9" s="167"/>
      <c r="G9" s="167"/>
      <c r="H9" s="166"/>
      <c r="I9" s="168" t="str">
        <f>COUNTA(tblRisks[ID])&amp;" risks and "&amp;COUNTA(tblIssues[ID])&amp;" issues defined"</f>
        <v>25 risks and 25 issues defined</v>
      </c>
      <c r="J9" s="167"/>
      <c r="K9" s="167"/>
      <c r="L9" s="165"/>
      <c r="M9" s="165"/>
      <c r="N9" s="165"/>
      <c r="O9" s="165"/>
      <c r="P9" s="165"/>
      <c r="Q9" s="165"/>
      <c r="R9" s="165"/>
      <c r="S9" s="165"/>
    </row>
    <row r="10" spans="2:19" ht="27" customHeight="1" x14ac:dyDescent="0.3">
      <c r="B10" s="170">
        <v>4</v>
      </c>
      <c r="C10" s="167" t="s">
        <v>241</v>
      </c>
      <c r="D10" s="167"/>
      <c r="E10" s="167"/>
      <c r="F10" s="167"/>
      <c r="G10" s="167"/>
      <c r="H10" s="166"/>
      <c r="I10" s="168" t="str">
        <f>COUNTA(tblHolidays[Date])&amp;" holidays added"</f>
        <v>6 holidays added</v>
      </c>
      <c r="J10" s="167"/>
      <c r="K10" s="167"/>
      <c r="L10" s="165"/>
      <c r="M10" s="165"/>
      <c r="N10" s="165"/>
      <c r="O10" s="165"/>
      <c r="P10" s="165"/>
      <c r="Q10" s="165"/>
      <c r="R10" s="165"/>
      <c r="S10" s="165"/>
    </row>
    <row r="11" spans="2:19" ht="27" customHeight="1" x14ac:dyDescent="0.3">
      <c r="B11" s="170">
        <v>5</v>
      </c>
      <c r="C11" s="167" t="s">
        <v>243</v>
      </c>
      <c r="D11" s="167"/>
      <c r="E11" s="167"/>
      <c r="F11" s="167"/>
      <c r="G11" s="167"/>
      <c r="H11" s="166"/>
      <c r="I11" s="168"/>
      <c r="J11" s="167"/>
      <c r="K11" s="167"/>
      <c r="L11" s="165"/>
      <c r="M11" s="165"/>
      <c r="N11" s="165"/>
      <c r="O11" s="165"/>
      <c r="P11" s="165"/>
      <c r="Q11" s="165"/>
      <c r="R11" s="165"/>
      <c r="S11" s="165"/>
    </row>
    <row r="12" spans="2:19" ht="27" customHeight="1" x14ac:dyDescent="0.3">
      <c r="B12" s="170">
        <v>6</v>
      </c>
      <c r="C12" s="167" t="s">
        <v>242</v>
      </c>
      <c r="D12" s="167"/>
      <c r="E12" s="167"/>
      <c r="F12" s="167"/>
      <c r="G12" s="167"/>
      <c r="H12" s="166"/>
      <c r="I12" s="168"/>
      <c r="J12" s="167"/>
      <c r="K12" s="167"/>
      <c r="L12" s="165"/>
      <c r="M12" s="165"/>
      <c r="N12" s="165"/>
      <c r="O12" s="165"/>
      <c r="P12" s="165"/>
      <c r="Q12" s="165"/>
      <c r="R12" s="165"/>
      <c r="S12" s="165"/>
    </row>
    <row r="13" spans="2:19" ht="22.5" customHeight="1" x14ac:dyDescent="0.3">
      <c r="B13" s="165"/>
      <c r="C13" s="165"/>
      <c r="D13" s="165"/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</row>
    <row r="14" spans="2:19" ht="22.5" customHeight="1" x14ac:dyDescent="0.3">
      <c r="B14" s="169" t="s">
        <v>244</v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</row>
    <row r="15" spans="2:19" ht="22.5" customHeight="1" x14ac:dyDescent="0.3">
      <c r="B15" s="165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</row>
    <row r="16" spans="2:19" ht="22.5" customHeight="1" x14ac:dyDescent="0.3">
      <c r="B16" s="165"/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</row>
    <row r="17" spans="2:19" ht="22.5" customHeight="1" x14ac:dyDescent="0.3">
      <c r="B17" s="165"/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</row>
  </sheetData>
  <sheetProtection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4" tint="0.39997558519241921"/>
    <pageSetUpPr fitToPage="1"/>
  </sheetPr>
  <dimension ref="A1:V33"/>
  <sheetViews>
    <sheetView showGridLines="0" showRowColHeaders="0" zoomScale="80" zoomScaleNormal="80" workbookViewId="0">
      <selection activeCell="V17" sqref="V17"/>
    </sheetView>
  </sheetViews>
  <sheetFormatPr defaultColWidth="0" defaultRowHeight="15.75" zeroHeight="1" x14ac:dyDescent="0.3"/>
  <cols>
    <col min="1" max="1" width="8.88671875" customWidth="1"/>
    <col min="2" max="2" width="1" customWidth="1"/>
    <col min="3" max="3" width="3.44140625" customWidth="1"/>
    <col min="4" max="4" width="8.88671875" customWidth="1"/>
    <col min="5" max="6" width="11.6640625" customWidth="1"/>
    <col min="7" max="7" width="2.88671875" customWidth="1"/>
    <col min="8" max="8" width="1.77734375" customWidth="1"/>
    <col min="9" max="15" width="8.88671875" customWidth="1"/>
    <col min="16" max="16" width="2.33203125" customWidth="1"/>
    <col min="17" max="20" width="8.88671875" customWidth="1"/>
    <col min="21" max="21" width="1.77734375" customWidth="1"/>
    <col min="22" max="22" width="8.88671875" customWidth="1"/>
    <col min="23" max="16384" width="8.88671875" hidden="1"/>
  </cols>
  <sheetData>
    <row r="1" spans="1:22" ht="46.5" customHeight="1" x14ac:dyDescent="0.3">
      <c r="A1" s="162"/>
      <c r="B1" s="162"/>
      <c r="C1" s="163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</row>
    <row r="2" spans="1:22" ht="6" customHeight="1" x14ac:dyDescent="0.3"/>
    <row r="3" spans="1:22" ht="25.5" customHeight="1" x14ac:dyDescent="0.3"/>
    <row r="4" spans="1:22" ht="69" customHeight="1" x14ac:dyDescent="0.3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2" ht="11.25" customHeight="1" thickBot="1" x14ac:dyDescent="0.35"/>
    <row r="6" spans="1:22" ht="20.25" customHeight="1" thickTop="1" x14ac:dyDescent="0.3">
      <c r="B6" s="46"/>
      <c r="C6" s="57" t="str">
        <f>Calculations!C9</f>
        <v>ABC Integration</v>
      </c>
      <c r="D6" s="47"/>
      <c r="E6" s="47"/>
      <c r="F6" s="47"/>
      <c r="G6" s="188"/>
      <c r="H6" s="35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59"/>
    </row>
    <row r="7" spans="1:22" ht="21" x14ac:dyDescent="0.35">
      <c r="B7" s="48"/>
      <c r="C7" s="49">
        <f>Calculations!G9</f>
        <v>0.84</v>
      </c>
      <c r="D7" s="50">
        <f>C7</f>
        <v>0.84</v>
      </c>
      <c r="E7" s="51" t="str">
        <f>Calculations!I9</f>
        <v>$ 484k</v>
      </c>
      <c r="F7" s="51" t="str">
        <f ca="1">Calculations!H9</f>
        <v>Over due</v>
      </c>
      <c r="G7" s="189"/>
      <c r="H7" s="38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60"/>
    </row>
    <row r="8" spans="1:22" x14ac:dyDescent="0.3">
      <c r="B8" s="48"/>
      <c r="C8" s="52"/>
      <c r="D8" s="53"/>
      <c r="E8" s="52"/>
      <c r="F8" s="52"/>
      <c r="G8" s="189"/>
      <c r="H8" s="3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60"/>
    </row>
    <row r="9" spans="1:22" ht="16.5" thickBot="1" x14ac:dyDescent="0.35">
      <c r="B9" s="54"/>
      <c r="C9" s="55"/>
      <c r="D9" s="56"/>
      <c r="E9" s="55"/>
      <c r="F9" s="55"/>
      <c r="G9" s="190"/>
      <c r="H9" s="38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60"/>
    </row>
    <row r="10" spans="1:22" ht="6" customHeight="1" thickTop="1" thickBot="1" x14ac:dyDescent="0.35">
      <c r="C10" s="23"/>
      <c r="D10" s="8"/>
      <c r="H10" s="38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60"/>
    </row>
    <row r="11" spans="1:22" ht="20.25" customHeight="1" thickTop="1" x14ac:dyDescent="0.3">
      <c r="B11" s="35"/>
      <c r="C11" s="58" t="str">
        <f>Calculations!C10</f>
        <v>Morlott Highway</v>
      </c>
      <c r="D11" s="36"/>
      <c r="E11" s="37"/>
      <c r="F11" s="37"/>
      <c r="G11" s="188"/>
      <c r="H11" s="38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60"/>
    </row>
    <row r="12" spans="1:22" ht="21" x14ac:dyDescent="0.35">
      <c r="B12" s="38"/>
      <c r="C12" s="39">
        <f>Calculations!G10</f>
        <v>0.91</v>
      </c>
      <c r="D12" s="40">
        <f>C12</f>
        <v>0.91</v>
      </c>
      <c r="E12" s="41" t="str">
        <f>Calculations!I10</f>
        <v>$ 382k</v>
      </c>
      <c r="F12" s="41" t="str">
        <f ca="1">Calculations!H10</f>
        <v>Over due</v>
      </c>
      <c r="G12" s="189"/>
      <c r="H12" s="38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60"/>
    </row>
    <row r="13" spans="1:22" x14ac:dyDescent="0.3">
      <c r="B13" s="38"/>
      <c r="C13" s="4"/>
      <c r="D13" s="42"/>
      <c r="E13" s="4"/>
      <c r="F13" s="4"/>
      <c r="G13" s="189"/>
      <c r="H13" s="38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60"/>
    </row>
    <row r="14" spans="1:22" ht="16.5" thickBot="1" x14ac:dyDescent="0.35">
      <c r="B14" s="43"/>
      <c r="C14" s="44"/>
      <c r="D14" s="45"/>
      <c r="E14" s="44"/>
      <c r="F14" s="44"/>
      <c r="G14" s="190"/>
      <c r="H14" s="38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60"/>
    </row>
    <row r="15" spans="1:22" ht="6" customHeight="1" thickTop="1" thickBot="1" x14ac:dyDescent="0.35">
      <c r="D15" s="8"/>
      <c r="H15" s="38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60"/>
    </row>
    <row r="16" spans="1:22" ht="20.25" customHeight="1" thickTop="1" x14ac:dyDescent="0.3">
      <c r="B16" s="35"/>
      <c r="C16" s="58" t="str">
        <f>Calculations!C11</f>
        <v>Riggs-A-lot decomissioning</v>
      </c>
      <c r="D16" s="36"/>
      <c r="E16" s="37"/>
      <c r="F16" s="37"/>
      <c r="G16" s="188"/>
      <c r="H16" s="38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60"/>
    </row>
    <row r="17" spans="2:21" ht="21" x14ac:dyDescent="0.35">
      <c r="B17" s="38"/>
      <c r="C17" s="39">
        <f>Calculations!G11</f>
        <v>0.5</v>
      </c>
      <c r="D17" s="40">
        <f>C17</f>
        <v>0.5</v>
      </c>
      <c r="E17" s="41" t="str">
        <f>Calculations!I11</f>
        <v>$ 377k</v>
      </c>
      <c r="F17" s="41" t="str">
        <f ca="1">Calculations!H11</f>
        <v>Over due</v>
      </c>
      <c r="G17" s="189"/>
      <c r="H17" s="38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60"/>
    </row>
    <row r="18" spans="2:21" x14ac:dyDescent="0.3">
      <c r="B18" s="38"/>
      <c r="C18" s="4"/>
      <c r="D18" s="42"/>
      <c r="E18" s="4"/>
      <c r="F18" s="4"/>
      <c r="G18" s="189"/>
      <c r="H18" s="38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60"/>
    </row>
    <row r="19" spans="2:21" ht="16.5" thickBot="1" x14ac:dyDescent="0.35">
      <c r="B19" s="43"/>
      <c r="C19" s="44"/>
      <c r="D19" s="45"/>
      <c r="E19" s="44"/>
      <c r="F19" s="44"/>
      <c r="G19" s="190"/>
      <c r="H19" s="38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60"/>
    </row>
    <row r="20" spans="2:21" ht="6" customHeight="1" thickTop="1" thickBot="1" x14ac:dyDescent="0.35">
      <c r="D20" s="8"/>
      <c r="H20" s="38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60"/>
    </row>
    <row r="21" spans="2:21" ht="20.25" customHeight="1" thickTop="1" x14ac:dyDescent="0.3">
      <c r="B21" s="35"/>
      <c r="C21" s="58" t="str">
        <f>Calculations!C12</f>
        <v>12th Annual Customer Convention</v>
      </c>
      <c r="D21" s="36"/>
      <c r="E21" s="37"/>
      <c r="F21" s="37"/>
      <c r="G21" s="188"/>
      <c r="H21" s="38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60"/>
    </row>
    <row r="22" spans="2:21" ht="21" x14ac:dyDescent="0.35">
      <c r="B22" s="38"/>
      <c r="C22" s="39">
        <f>Calculations!G12</f>
        <v>0.79</v>
      </c>
      <c r="D22" s="40">
        <f>C22</f>
        <v>0.79</v>
      </c>
      <c r="E22" s="41" t="str">
        <f>Calculations!I12</f>
        <v>$ 490k</v>
      </c>
      <c r="F22" s="41" t="str">
        <f ca="1">Calculations!H12</f>
        <v>Over due</v>
      </c>
      <c r="G22" s="189"/>
      <c r="H22" s="38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60"/>
    </row>
    <row r="23" spans="2:21" x14ac:dyDescent="0.3">
      <c r="B23" s="38"/>
      <c r="C23" s="4"/>
      <c r="D23" s="42"/>
      <c r="E23" s="4"/>
      <c r="F23" s="4"/>
      <c r="G23" s="189"/>
      <c r="H23" s="38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60"/>
    </row>
    <row r="24" spans="2:21" ht="16.5" thickBot="1" x14ac:dyDescent="0.35">
      <c r="B24" s="43"/>
      <c r="C24" s="44"/>
      <c r="D24" s="45"/>
      <c r="E24" s="44"/>
      <c r="F24" s="44"/>
      <c r="G24" s="190"/>
      <c r="H24" s="38"/>
      <c r="I24" s="97" t="s">
        <v>160</v>
      </c>
      <c r="J24" s="96"/>
      <c r="K24" s="96"/>
      <c r="L24" s="97" t="s">
        <v>93</v>
      </c>
      <c r="M24" s="96"/>
      <c r="N24" s="96"/>
      <c r="O24" s="97" t="s">
        <v>167</v>
      </c>
      <c r="P24" s="96"/>
      <c r="Q24" s="97" t="s">
        <v>172</v>
      </c>
      <c r="R24" s="96"/>
      <c r="S24" s="97" t="s">
        <v>174</v>
      </c>
      <c r="T24" s="96"/>
      <c r="U24" s="60"/>
    </row>
    <row r="25" spans="2:21" ht="6" customHeight="1" thickTop="1" thickBot="1" x14ac:dyDescent="0.35">
      <c r="D25" s="8"/>
      <c r="H25" s="38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60"/>
    </row>
    <row r="26" spans="2:21" ht="20.25" customHeight="1" thickTop="1" x14ac:dyDescent="0.3">
      <c r="B26" s="35"/>
      <c r="C26" s="58" t="str">
        <f>Calculations!C13</f>
        <v>Six Sigma Assessment</v>
      </c>
      <c r="D26" s="36"/>
      <c r="E26" s="37"/>
      <c r="F26" s="37"/>
      <c r="G26" s="188"/>
      <c r="H26" s="38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60"/>
    </row>
    <row r="27" spans="2:21" ht="21" x14ac:dyDescent="0.35">
      <c r="B27" s="38"/>
      <c r="C27" s="39">
        <f>Calculations!G13</f>
        <v>0.86</v>
      </c>
      <c r="D27" s="40">
        <f>C27</f>
        <v>0.86</v>
      </c>
      <c r="E27" s="41" t="str">
        <f>Calculations!I13</f>
        <v>$ 445k</v>
      </c>
      <c r="F27" s="41" t="str">
        <f ca="1">Calculations!H13</f>
        <v>Over due</v>
      </c>
      <c r="G27" s="189"/>
      <c r="H27" s="38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60"/>
    </row>
    <row r="28" spans="2:21" x14ac:dyDescent="0.3">
      <c r="B28" s="38"/>
      <c r="C28" s="4"/>
      <c r="D28" s="4"/>
      <c r="E28" s="4"/>
      <c r="F28" s="4"/>
      <c r="G28" s="189"/>
      <c r="H28" s="38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60"/>
    </row>
    <row r="29" spans="2:21" ht="16.5" thickBot="1" x14ac:dyDescent="0.35">
      <c r="B29" s="43"/>
      <c r="C29" s="44"/>
      <c r="D29" s="44"/>
      <c r="E29" s="44"/>
      <c r="F29" s="44"/>
      <c r="G29" s="190"/>
      <c r="H29" s="43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61"/>
    </row>
    <row r="30" spans="2:21" ht="6" customHeight="1" thickTop="1" x14ac:dyDescent="0.3"/>
    <row r="31" spans="2:21" x14ac:dyDescent="0.3"/>
    <row r="32" spans="2:21" ht="17.25" customHeight="1" x14ac:dyDescent="0.3"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164" t="str">
        <f>HYPERLINK("mailto:"&amp;Settings!$I$6,"@")</f>
        <v>@</v>
      </c>
    </row>
    <row r="33" x14ac:dyDescent="0.3"/>
  </sheetData>
  <sheetProtection selectLockedCells="1" selectUnlockedCells="1"/>
  <mergeCells count="5">
    <mergeCell ref="G6:G9"/>
    <mergeCell ref="G11:G14"/>
    <mergeCell ref="G16:G19"/>
    <mergeCell ref="G21:G24"/>
    <mergeCell ref="G26:G29"/>
  </mergeCells>
  <conditionalFormatting sqref="C7">
    <cfRule type="iconSet" priority="34">
      <iconSet showValue="0">
        <cfvo type="percent" val="0"/>
        <cfvo type="num" val="valAmberTh"/>
        <cfvo type="num" val="valGreenTh"/>
      </iconSet>
    </cfRule>
  </conditionalFormatting>
  <conditionalFormatting sqref="C12">
    <cfRule type="iconSet" priority="32">
      <iconSet showValue="0">
        <cfvo type="percent" val="0"/>
        <cfvo type="num" val="valAmberTh"/>
        <cfvo type="num" val="valGreenTh"/>
      </iconSet>
    </cfRule>
  </conditionalFormatting>
  <conditionalFormatting sqref="C17">
    <cfRule type="iconSet" priority="30">
      <iconSet showValue="0">
        <cfvo type="percent" val="0"/>
        <cfvo type="num" val="valAmberTh"/>
        <cfvo type="num" val="valGreenTh"/>
      </iconSet>
    </cfRule>
  </conditionalFormatting>
  <conditionalFormatting sqref="C22">
    <cfRule type="iconSet" priority="28">
      <iconSet showValue="0">
        <cfvo type="percent" val="0"/>
        <cfvo type="num" val="valAmberTh"/>
        <cfvo type="num" val="valGreenTh"/>
      </iconSet>
    </cfRule>
  </conditionalFormatting>
  <conditionalFormatting sqref="C27">
    <cfRule type="iconSet" priority="26">
      <iconSet showValue="0">
        <cfvo type="percent" val="0"/>
        <cfvo type="num" val="valAmberTh"/>
        <cfvo type="num" val="valGreenTh"/>
      </iconSet>
    </cfRule>
  </conditionalFormatting>
  <conditionalFormatting sqref="D7">
    <cfRule type="expression" dxfId="93" priority="24">
      <formula>$D$7&lt;0.25</formula>
    </cfRule>
    <cfRule type="expression" dxfId="92" priority="25">
      <formula>$D$7&gt;0.75</formula>
    </cfRule>
  </conditionalFormatting>
  <conditionalFormatting sqref="D12">
    <cfRule type="expression" dxfId="91" priority="22">
      <formula>$D$7&lt;0.25</formula>
    </cfRule>
    <cfRule type="expression" dxfId="90" priority="23">
      <formula>$D$7&gt;0.75</formula>
    </cfRule>
  </conditionalFormatting>
  <conditionalFormatting sqref="D17">
    <cfRule type="expression" dxfId="89" priority="20">
      <formula>$D$7&lt;0.25</formula>
    </cfRule>
    <cfRule type="expression" dxfId="88" priority="21">
      <formula>$D$7&gt;0.75</formula>
    </cfRule>
  </conditionalFormatting>
  <conditionalFormatting sqref="D22">
    <cfRule type="expression" dxfId="87" priority="18">
      <formula>$D$7&lt;0.25</formula>
    </cfRule>
    <cfRule type="expression" dxfId="86" priority="19">
      <formula>$D$7&gt;0.75</formula>
    </cfRule>
  </conditionalFormatting>
  <conditionalFormatting sqref="D27">
    <cfRule type="expression" dxfId="85" priority="16">
      <formula>$D$7&lt;0.25</formula>
    </cfRule>
    <cfRule type="expression" dxfId="84" priority="17">
      <formula>$D$7&gt;0.75</formula>
    </cfRule>
  </conditionalFormatting>
  <conditionalFormatting sqref="B6:F9">
    <cfRule type="expression" dxfId="83" priority="15">
      <formula>valSP=1</formula>
    </cfRule>
  </conditionalFormatting>
  <conditionalFormatting sqref="G6:G9">
    <cfRule type="expression" dxfId="82" priority="14">
      <formula>valSP=1</formula>
    </cfRule>
  </conditionalFormatting>
  <conditionalFormatting sqref="B11:F14">
    <cfRule type="expression" dxfId="81" priority="13">
      <formula>valSP=2</formula>
    </cfRule>
  </conditionalFormatting>
  <conditionalFormatting sqref="B16:F19">
    <cfRule type="expression" dxfId="80" priority="12">
      <formula>valSP=3</formula>
    </cfRule>
  </conditionalFormatting>
  <conditionalFormatting sqref="B21:F24">
    <cfRule type="expression" dxfId="79" priority="11">
      <formula>valSP=4</formula>
    </cfRule>
  </conditionalFormatting>
  <conditionalFormatting sqref="B26:F29">
    <cfRule type="expression" dxfId="78" priority="10">
      <formula>valSP=5</formula>
    </cfRule>
  </conditionalFormatting>
  <conditionalFormatting sqref="G11:G14">
    <cfRule type="expression" dxfId="77" priority="9">
      <formula>valSP=2</formula>
    </cfRule>
  </conditionalFormatting>
  <conditionalFormatting sqref="G16:G19">
    <cfRule type="expression" dxfId="76" priority="8">
      <formula>valSP=3</formula>
    </cfRule>
  </conditionalFormatting>
  <conditionalFormatting sqref="G21:G24">
    <cfRule type="expression" dxfId="75" priority="7">
      <formula>valSP=4</formula>
    </cfRule>
  </conditionalFormatting>
  <conditionalFormatting sqref="G26:G29">
    <cfRule type="expression" dxfId="74" priority="6">
      <formula>valSP=5</formula>
    </cfRule>
  </conditionalFormatting>
  <conditionalFormatting sqref="C6">
    <cfRule type="expression" dxfId="73" priority="5">
      <formula>valSP=1</formula>
    </cfRule>
  </conditionalFormatting>
  <conditionalFormatting sqref="C11">
    <cfRule type="expression" dxfId="72" priority="4">
      <formula>valSP=2</formula>
    </cfRule>
  </conditionalFormatting>
  <conditionalFormatting sqref="C16">
    <cfRule type="expression" dxfId="71" priority="3">
      <formula>valSP=3</formula>
    </cfRule>
  </conditionalFormatting>
  <conditionalFormatting sqref="C21">
    <cfRule type="expression" dxfId="70" priority="2">
      <formula>valSP=4</formula>
    </cfRule>
  </conditionalFormatting>
  <conditionalFormatting sqref="C26">
    <cfRule type="expression" dxfId="69" priority="1">
      <formula>valSP=5</formula>
    </cfRule>
  </conditionalFormatting>
  <pageMargins left="0.7" right="0.7" top="0.75" bottom="0.75" header="0.3" footer="0.3"/>
  <pageSetup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8" r:id="rId4" name="optProject">
              <controlPr defaultSize="0" print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66675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5" name="Option Button 29">
              <controlPr defaultSize="0" print="0" autoFill="0" autoLine="0" autoPict="0">
                <anchor moveWithCells="1">
                  <from>
                    <xdr:col>6</xdr:col>
                    <xdr:colOff>0</xdr:colOff>
                    <xdr:row>9</xdr:row>
                    <xdr:rowOff>66675</xdr:rowOff>
                  </from>
                  <to>
                    <xdr:col>6</xdr:col>
                    <xdr:colOff>238125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" name="Option Button 30">
              <controlPr defaultSize="0" print="0" autoFill="0" autoLine="0" autoPict="0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6</xdr:col>
                    <xdr:colOff>238125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7" name="Option Button 31">
              <controlPr defaultSize="0" print="0" autoFill="0" autoLine="0" autoPict="0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6</xdr:col>
                    <xdr:colOff>238125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8" name="Option Button 32">
              <controlPr defaultSize="0" print="0" autoFill="0" autoLine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6</xdr:col>
                    <xdr:colOff>238125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9" name="Scroll Bar 100">
              <controlPr defaultSize="0" print="0" autoPict="0">
                <anchor moveWithCells="1">
                  <from>
                    <xdr:col>19</xdr:col>
                    <xdr:colOff>590550</xdr:colOff>
                    <xdr:row>7</xdr:row>
                    <xdr:rowOff>142875</xdr:rowOff>
                  </from>
                  <to>
                    <xdr:col>20</xdr:col>
                    <xdr:colOff>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" name="Scroll Bar 101">
              <controlPr defaultSize="0" print="0" autoPict="0">
                <anchor moveWithCells="1">
                  <from>
                    <xdr:col>11</xdr:col>
                    <xdr:colOff>457200</xdr:colOff>
                    <xdr:row>6</xdr:row>
                    <xdr:rowOff>19050</xdr:rowOff>
                  </from>
                  <to>
                    <xdr:col>19</xdr:col>
                    <xdr:colOff>409575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" name="Drop Down 571">
              <controlPr defaultSize="0" autoLine="0" autoPict="0">
                <anchor moveWithCells="1">
                  <from>
                    <xdr:col>18</xdr:col>
                    <xdr:colOff>295275</xdr:colOff>
                    <xdr:row>3</xdr:row>
                    <xdr:rowOff>238125</xdr:rowOff>
                  </from>
                  <to>
                    <xdr:col>20</xdr:col>
                    <xdr:colOff>47625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3" r:id="rId12" name="Drop Down 783">
              <controlPr defaultSize="0" autoLine="0" autoPict="0">
                <anchor moveWithCells="1">
                  <from>
                    <xdr:col>18</xdr:col>
                    <xdr:colOff>295275</xdr:colOff>
                    <xdr:row>3</xdr:row>
                    <xdr:rowOff>619125</xdr:rowOff>
                  </from>
                  <to>
                    <xdr:col>20</xdr:col>
                    <xdr:colOff>47625</xdr:colOff>
                    <xdr:row>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3" name="Scroll Bar 1086">
              <controlPr defaultSize="0" print="0" autoPict="0">
                <anchor moveWithCells="1">
                  <from>
                    <xdr:col>0</xdr:col>
                    <xdr:colOff>285750</xdr:colOff>
                    <xdr:row>5</xdr:row>
                    <xdr:rowOff>0</xdr:rowOff>
                  </from>
                  <to>
                    <xdr:col>0</xdr:col>
                    <xdr:colOff>476250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9" tint="0.39997558519241921"/>
  </sheetPr>
  <dimension ref="B1:L52"/>
  <sheetViews>
    <sheetView showGridLines="0" zoomScale="110" zoomScaleNormal="110" workbookViewId="0">
      <selection activeCell="C5" sqref="C5"/>
    </sheetView>
  </sheetViews>
  <sheetFormatPr defaultRowHeight="15.75" x14ac:dyDescent="0.3"/>
  <cols>
    <col min="1" max="1" width="2.21875" customWidth="1"/>
    <col min="2" max="2" width="7.33203125" customWidth="1"/>
    <col min="3" max="3" width="36.33203125" customWidth="1"/>
    <col min="4" max="4" width="18.6640625" customWidth="1"/>
    <col min="5" max="5" width="28.44140625" customWidth="1"/>
    <col min="6" max="10" width="17.6640625" customWidth="1"/>
  </cols>
  <sheetData>
    <row r="1" spans="2:12" ht="45.75" customHeight="1" x14ac:dyDescent="0.3"/>
    <row r="3" spans="2:12" x14ac:dyDescent="0.3">
      <c r="B3" s="32" t="s">
        <v>58</v>
      </c>
      <c r="C3" s="32"/>
      <c r="D3" s="32"/>
      <c r="E3" s="171" t="s">
        <v>74</v>
      </c>
      <c r="F3" s="32"/>
      <c r="G3" s="32"/>
      <c r="H3" s="32"/>
      <c r="I3" s="32"/>
      <c r="J3" s="32"/>
      <c r="K3" s="32"/>
      <c r="L3" s="32"/>
    </row>
    <row r="5" spans="2:12" x14ac:dyDescent="0.3">
      <c r="B5" t="s">
        <v>48</v>
      </c>
      <c r="C5" t="s">
        <v>49</v>
      </c>
      <c r="D5" t="s">
        <v>59</v>
      </c>
      <c r="E5" t="s">
        <v>68</v>
      </c>
      <c r="F5" t="s">
        <v>69</v>
      </c>
      <c r="G5" s="10" t="s">
        <v>5</v>
      </c>
      <c r="H5" s="10" t="s">
        <v>132</v>
      </c>
      <c r="I5" s="10" t="s">
        <v>70</v>
      </c>
      <c r="J5" t="s">
        <v>115</v>
      </c>
      <c r="K5" t="s">
        <v>120</v>
      </c>
      <c r="L5" t="s">
        <v>174</v>
      </c>
    </row>
    <row r="6" spans="2:12" x14ac:dyDescent="0.3">
      <c r="B6" s="8">
        <v>1</v>
      </c>
      <c r="C6" t="s">
        <v>50</v>
      </c>
      <c r="D6" t="s">
        <v>60</v>
      </c>
      <c r="E6" t="s">
        <v>249</v>
      </c>
      <c r="F6" t="s">
        <v>250</v>
      </c>
      <c r="G6" s="9">
        <v>484000</v>
      </c>
      <c r="H6" s="9">
        <v>392910</v>
      </c>
      <c r="I6" s="1">
        <v>41741</v>
      </c>
      <c r="J6" s="2">
        <v>0.84</v>
      </c>
      <c r="K6">
        <v>20</v>
      </c>
      <c r="L6" t="s">
        <v>251</v>
      </c>
    </row>
    <row r="7" spans="2:12" x14ac:dyDescent="0.3">
      <c r="B7" s="8">
        <v>2</v>
      </c>
      <c r="C7" t="s">
        <v>51</v>
      </c>
      <c r="D7" t="s">
        <v>61</v>
      </c>
      <c r="E7" t="s">
        <v>252</v>
      </c>
      <c r="F7" t="s">
        <v>253</v>
      </c>
      <c r="G7" s="9">
        <v>382000</v>
      </c>
      <c r="H7" s="9">
        <v>304893</v>
      </c>
      <c r="I7" s="1">
        <v>41833</v>
      </c>
      <c r="J7" s="2">
        <v>0.91</v>
      </c>
      <c r="K7">
        <v>15</v>
      </c>
      <c r="L7" t="s">
        <v>254</v>
      </c>
    </row>
    <row r="8" spans="2:12" x14ac:dyDescent="0.3">
      <c r="B8" s="8">
        <v>3</v>
      </c>
      <c r="C8" t="s">
        <v>52</v>
      </c>
      <c r="D8" t="s">
        <v>62</v>
      </c>
      <c r="E8" t="s">
        <v>255</v>
      </c>
      <c r="F8" t="s">
        <v>256</v>
      </c>
      <c r="G8" s="9">
        <v>377000</v>
      </c>
      <c r="H8" s="9">
        <v>222122</v>
      </c>
      <c r="I8" s="1">
        <v>41347</v>
      </c>
      <c r="J8" s="2">
        <v>0.5</v>
      </c>
      <c r="K8">
        <v>35</v>
      </c>
      <c r="L8" t="s">
        <v>257</v>
      </c>
    </row>
    <row r="9" spans="2:12" x14ac:dyDescent="0.3">
      <c r="B9" s="8">
        <v>4</v>
      </c>
      <c r="C9" t="s">
        <v>53</v>
      </c>
      <c r="D9" t="s">
        <v>63</v>
      </c>
      <c r="E9" t="s">
        <v>258</v>
      </c>
      <c r="F9" t="s">
        <v>259</v>
      </c>
      <c r="G9" s="9">
        <v>490000</v>
      </c>
      <c r="H9" s="9">
        <v>445395</v>
      </c>
      <c r="I9" s="1">
        <v>41567</v>
      </c>
      <c r="J9" s="2">
        <v>0.79</v>
      </c>
      <c r="K9">
        <v>35</v>
      </c>
      <c r="L9" t="s">
        <v>260</v>
      </c>
    </row>
    <row r="10" spans="2:12" x14ac:dyDescent="0.3">
      <c r="B10" s="8">
        <v>5</v>
      </c>
      <c r="C10" t="s">
        <v>54</v>
      </c>
      <c r="D10" t="s">
        <v>64</v>
      </c>
      <c r="E10" t="s">
        <v>261</v>
      </c>
      <c r="F10" t="s">
        <v>262</v>
      </c>
      <c r="G10" s="9">
        <v>445000</v>
      </c>
      <c r="H10" s="9">
        <v>323965</v>
      </c>
      <c r="I10" s="1">
        <v>41357</v>
      </c>
      <c r="J10" s="2">
        <v>0.86</v>
      </c>
      <c r="K10">
        <v>35</v>
      </c>
      <c r="L10" t="s">
        <v>263</v>
      </c>
    </row>
    <row r="11" spans="2:12" x14ac:dyDescent="0.3">
      <c r="B11" s="8">
        <v>6</v>
      </c>
      <c r="C11" t="s">
        <v>55</v>
      </c>
      <c r="D11" t="s">
        <v>65</v>
      </c>
      <c r="E11" t="s">
        <v>264</v>
      </c>
      <c r="F11" t="s">
        <v>265</v>
      </c>
      <c r="G11" s="9">
        <v>302000</v>
      </c>
      <c r="H11" s="9">
        <v>188391</v>
      </c>
      <c r="I11" s="1">
        <v>41560</v>
      </c>
      <c r="J11" s="2">
        <v>1</v>
      </c>
      <c r="K11">
        <v>30</v>
      </c>
      <c r="L11" t="s">
        <v>266</v>
      </c>
    </row>
    <row r="12" spans="2:12" x14ac:dyDescent="0.3">
      <c r="B12" s="8">
        <v>7</v>
      </c>
      <c r="C12" t="s">
        <v>56</v>
      </c>
      <c r="D12" t="s">
        <v>66</v>
      </c>
      <c r="E12" t="s">
        <v>267</v>
      </c>
      <c r="F12" t="s">
        <v>268</v>
      </c>
      <c r="G12" s="9">
        <v>405000</v>
      </c>
      <c r="H12" s="9">
        <v>360511</v>
      </c>
      <c r="I12" s="1">
        <v>41726</v>
      </c>
      <c r="J12" s="2">
        <v>0.91</v>
      </c>
      <c r="K12">
        <v>35</v>
      </c>
      <c r="L12" t="s">
        <v>266</v>
      </c>
    </row>
    <row r="13" spans="2:12" x14ac:dyDescent="0.3">
      <c r="B13" s="8">
        <v>8</v>
      </c>
      <c r="C13" t="s">
        <v>57</v>
      </c>
      <c r="D13" t="s">
        <v>67</v>
      </c>
      <c r="E13" t="s">
        <v>269</v>
      </c>
      <c r="F13" t="s">
        <v>270</v>
      </c>
      <c r="G13" s="9">
        <v>322000</v>
      </c>
      <c r="H13" s="9">
        <v>171426</v>
      </c>
      <c r="I13" s="1">
        <v>41498</v>
      </c>
      <c r="J13" s="2">
        <v>0.81</v>
      </c>
      <c r="K13">
        <v>20</v>
      </c>
      <c r="L13" t="s">
        <v>271</v>
      </c>
    </row>
    <row r="34" spans="2:5" x14ac:dyDescent="0.3">
      <c r="B34" s="32" t="s">
        <v>74</v>
      </c>
      <c r="C34" s="32"/>
      <c r="D34" s="32"/>
      <c r="E34" s="32"/>
    </row>
    <row r="36" spans="2:5" x14ac:dyDescent="0.3">
      <c r="B36" t="s">
        <v>48</v>
      </c>
      <c r="C36" t="s">
        <v>75</v>
      </c>
      <c r="D36" t="s">
        <v>76</v>
      </c>
      <c r="E36" t="s">
        <v>69</v>
      </c>
    </row>
    <row r="37" spans="2:5" x14ac:dyDescent="0.3">
      <c r="B37" s="8">
        <v>1</v>
      </c>
      <c r="C37" t="s">
        <v>77</v>
      </c>
      <c r="D37" t="s">
        <v>272</v>
      </c>
      <c r="E37" t="s">
        <v>273</v>
      </c>
    </row>
    <row r="38" spans="2:5" x14ac:dyDescent="0.3">
      <c r="B38" s="8">
        <v>2</v>
      </c>
      <c r="C38" t="s">
        <v>78</v>
      </c>
      <c r="D38" t="s">
        <v>274</v>
      </c>
      <c r="E38" t="s">
        <v>275</v>
      </c>
    </row>
    <row r="39" spans="2:5" x14ac:dyDescent="0.3">
      <c r="B39" s="8">
        <v>3</v>
      </c>
      <c r="C39" t="s">
        <v>79</v>
      </c>
      <c r="D39" t="s">
        <v>276</v>
      </c>
      <c r="E39" t="s">
        <v>277</v>
      </c>
    </row>
    <row r="40" spans="2:5" x14ac:dyDescent="0.3">
      <c r="B40" s="8">
        <v>4</v>
      </c>
      <c r="C40" t="s">
        <v>80</v>
      </c>
      <c r="D40" t="s">
        <v>278</v>
      </c>
      <c r="E40" t="s">
        <v>279</v>
      </c>
    </row>
    <row r="41" spans="2:5" x14ac:dyDescent="0.3">
      <c r="B41" s="8">
        <v>5</v>
      </c>
      <c r="C41" t="s">
        <v>81</v>
      </c>
      <c r="D41" t="s">
        <v>280</v>
      </c>
      <c r="E41" t="s">
        <v>281</v>
      </c>
    </row>
    <row r="42" spans="2:5" x14ac:dyDescent="0.3">
      <c r="B42" s="8">
        <v>6</v>
      </c>
      <c r="C42" t="s">
        <v>82</v>
      </c>
      <c r="D42" t="s">
        <v>282</v>
      </c>
      <c r="E42" t="s">
        <v>283</v>
      </c>
    </row>
    <row r="43" spans="2:5" x14ac:dyDescent="0.3">
      <c r="B43" s="8">
        <v>7</v>
      </c>
      <c r="C43" t="s">
        <v>83</v>
      </c>
      <c r="D43" t="s">
        <v>284</v>
      </c>
      <c r="E43" t="s">
        <v>285</v>
      </c>
    </row>
    <row r="44" spans="2:5" x14ac:dyDescent="0.3">
      <c r="B44" s="8">
        <v>8</v>
      </c>
      <c r="C44" t="s">
        <v>84</v>
      </c>
      <c r="D44" t="s">
        <v>286</v>
      </c>
      <c r="E44" t="s">
        <v>287</v>
      </c>
    </row>
    <row r="45" spans="2:5" x14ac:dyDescent="0.3">
      <c r="B45" s="8">
        <v>9</v>
      </c>
      <c r="C45" t="s">
        <v>85</v>
      </c>
      <c r="D45" t="s">
        <v>288</v>
      </c>
      <c r="E45" t="s">
        <v>289</v>
      </c>
    </row>
    <row r="46" spans="2:5" x14ac:dyDescent="0.3">
      <c r="B46" s="8">
        <v>10</v>
      </c>
      <c r="C46" t="s">
        <v>86</v>
      </c>
      <c r="D46" t="s">
        <v>290</v>
      </c>
      <c r="E46" t="s">
        <v>291</v>
      </c>
    </row>
    <row r="47" spans="2:5" x14ac:dyDescent="0.3">
      <c r="B47" s="8">
        <v>11</v>
      </c>
      <c r="C47" t="s">
        <v>87</v>
      </c>
      <c r="D47" t="s">
        <v>292</v>
      </c>
      <c r="E47" t="s">
        <v>293</v>
      </c>
    </row>
    <row r="48" spans="2:5" x14ac:dyDescent="0.3">
      <c r="B48" s="8">
        <v>12</v>
      </c>
      <c r="C48" t="s">
        <v>88</v>
      </c>
      <c r="D48" t="s">
        <v>294</v>
      </c>
      <c r="E48" t="s">
        <v>295</v>
      </c>
    </row>
    <row r="49" spans="2:5" x14ac:dyDescent="0.3">
      <c r="B49" s="8">
        <v>13</v>
      </c>
      <c r="C49" t="s">
        <v>89</v>
      </c>
      <c r="D49" t="s">
        <v>296</v>
      </c>
      <c r="E49" t="s">
        <v>297</v>
      </c>
    </row>
    <row r="50" spans="2:5" x14ac:dyDescent="0.3">
      <c r="B50" s="8">
        <v>14</v>
      </c>
      <c r="C50" t="s">
        <v>90</v>
      </c>
      <c r="D50" t="s">
        <v>298</v>
      </c>
      <c r="E50" t="s">
        <v>299</v>
      </c>
    </row>
    <row r="51" spans="2:5" x14ac:dyDescent="0.3">
      <c r="B51" s="8">
        <v>15</v>
      </c>
      <c r="C51" t="s">
        <v>91</v>
      </c>
      <c r="D51" t="s">
        <v>300</v>
      </c>
      <c r="E51" t="s">
        <v>301</v>
      </c>
    </row>
    <row r="52" spans="2:5" x14ac:dyDescent="0.3">
      <c r="B52" s="8">
        <v>16</v>
      </c>
      <c r="C52" t="s">
        <v>92</v>
      </c>
      <c r="D52" t="s">
        <v>302</v>
      </c>
      <c r="E52" t="s">
        <v>303</v>
      </c>
    </row>
  </sheetData>
  <hyperlinks>
    <hyperlink ref="E3" location="'Project Details'!A36" display="Team Details" xr:uid="{00000000-0004-0000-0200-000000000000}"/>
  </hyperlinks>
  <pageMargins left="0.7" right="0.7" top="0.75" bottom="0.75" header="0.3" footer="0.3"/>
  <pageSetup orientation="portrait" r:id="rId1"/>
  <drawing r:id="rId2"/>
  <legacy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9" tint="0.39997558519241921"/>
  </sheetPr>
  <dimension ref="A1:CA45"/>
  <sheetViews>
    <sheetView showGridLines="0" workbookViewId="0">
      <selection activeCell="C11" sqref="C11"/>
    </sheetView>
  </sheetViews>
  <sheetFormatPr defaultRowHeight="15.75" x14ac:dyDescent="0.3"/>
  <cols>
    <col min="1" max="1" width="3" customWidth="1"/>
    <col min="2" max="2" width="14.77734375" customWidth="1"/>
    <col min="3" max="3" width="12.6640625" customWidth="1"/>
    <col min="4" max="4" width="11.77734375" customWidth="1"/>
    <col min="5" max="5" width="12.6640625" customWidth="1"/>
    <col min="6" max="6" width="12.33203125" customWidth="1"/>
    <col min="7" max="7" width="11.6640625" customWidth="1"/>
    <col min="8" max="9" width="2.33203125" customWidth="1"/>
    <col min="10" max="10" width="14.77734375" customWidth="1"/>
    <col min="11" max="11" width="12.6640625" customWidth="1"/>
    <col min="12" max="12" width="11.77734375" customWidth="1"/>
    <col min="13" max="13" width="12.6640625" customWidth="1"/>
    <col min="14" max="14" width="12.33203125" customWidth="1"/>
    <col min="15" max="15" width="11.6640625" customWidth="1"/>
    <col min="16" max="17" width="2.33203125" customWidth="1"/>
    <col min="18" max="18" width="14.77734375" customWidth="1"/>
    <col min="19" max="19" width="12.6640625" customWidth="1"/>
    <col min="20" max="20" width="11.77734375" customWidth="1"/>
    <col min="21" max="21" width="12.6640625" customWidth="1"/>
    <col min="22" max="22" width="12.33203125" customWidth="1"/>
    <col min="23" max="23" width="11.6640625" customWidth="1"/>
    <col min="24" max="25" width="2.33203125" customWidth="1"/>
    <col min="26" max="26" width="14.77734375" customWidth="1"/>
    <col min="27" max="27" width="12.6640625" customWidth="1"/>
    <col min="28" max="28" width="11.77734375" customWidth="1"/>
    <col min="29" max="29" width="12.6640625" customWidth="1"/>
    <col min="30" max="30" width="12.33203125" customWidth="1"/>
    <col min="31" max="31" width="11.6640625" customWidth="1"/>
    <col min="32" max="33" width="2.33203125" customWidth="1"/>
    <col min="34" max="34" width="14.77734375" customWidth="1"/>
    <col min="35" max="35" width="12.6640625" customWidth="1"/>
    <col min="36" max="36" width="11.77734375" customWidth="1"/>
    <col min="37" max="37" width="12.6640625" customWidth="1"/>
    <col min="38" max="38" width="12.33203125" customWidth="1"/>
    <col min="39" max="39" width="11.6640625" customWidth="1"/>
    <col min="40" max="41" width="2.33203125" customWidth="1"/>
    <col min="42" max="42" width="14.77734375" customWidth="1"/>
    <col min="43" max="43" width="12.6640625" customWidth="1"/>
    <col min="44" max="44" width="11.77734375" customWidth="1"/>
    <col min="45" max="45" width="12.6640625" customWidth="1"/>
    <col min="46" max="46" width="12.33203125" customWidth="1"/>
    <col min="47" max="47" width="11.6640625" customWidth="1"/>
    <col min="48" max="49" width="2.33203125" customWidth="1"/>
    <col min="50" max="50" width="14.77734375" customWidth="1"/>
    <col min="51" max="51" width="12.6640625" customWidth="1"/>
    <col min="52" max="52" width="11.77734375" customWidth="1"/>
    <col min="53" max="53" width="12.6640625" customWidth="1"/>
    <col min="54" max="54" width="12.33203125" customWidth="1"/>
    <col min="55" max="55" width="11.6640625" customWidth="1"/>
    <col min="56" max="57" width="2.33203125" customWidth="1"/>
    <col min="58" max="58" width="14.77734375" customWidth="1"/>
    <col min="59" max="59" width="12.6640625" customWidth="1"/>
    <col min="60" max="60" width="11.77734375" customWidth="1"/>
    <col min="61" max="61" width="12.6640625" customWidth="1"/>
    <col min="62" max="62" width="12.33203125" customWidth="1"/>
    <col min="63" max="63" width="11.6640625" customWidth="1"/>
    <col min="64" max="65" width="2.33203125" customWidth="1"/>
    <col min="66" max="66" width="14.77734375" customWidth="1"/>
    <col min="67" max="67" width="12.6640625" customWidth="1"/>
    <col min="68" max="68" width="11.77734375" customWidth="1"/>
    <col min="69" max="69" width="12.6640625" customWidth="1"/>
    <col min="70" max="70" width="12.33203125" customWidth="1"/>
    <col min="71" max="71" width="11.6640625" customWidth="1"/>
    <col min="72" max="73" width="2.33203125" customWidth="1"/>
    <col min="74" max="74" width="14.77734375" customWidth="1"/>
    <col min="75" max="75" width="12.6640625" customWidth="1"/>
    <col min="76" max="76" width="11.77734375" customWidth="1"/>
    <col min="77" max="77" width="12.6640625" customWidth="1"/>
    <col min="78" max="78" width="12.33203125" customWidth="1"/>
    <col min="79" max="79" width="11.6640625" customWidth="1"/>
  </cols>
  <sheetData>
    <row r="1" spans="1:79" ht="45.75" customHeight="1" x14ac:dyDescent="0.3"/>
    <row r="2" spans="1:79" x14ac:dyDescent="0.3">
      <c r="A2" s="8"/>
      <c r="B2" s="8" t="s">
        <v>0</v>
      </c>
      <c r="C2" s="15"/>
      <c r="D2" s="8"/>
      <c r="E2" s="8"/>
      <c r="F2" s="8"/>
      <c r="G2" s="8"/>
      <c r="H2" s="8"/>
      <c r="I2" s="8"/>
      <c r="J2" s="8" t="s">
        <v>102</v>
      </c>
      <c r="K2" s="8"/>
      <c r="L2" s="8"/>
      <c r="M2" s="8"/>
      <c r="N2" s="8"/>
      <c r="O2" s="8"/>
      <c r="P2" s="8"/>
      <c r="Q2" s="8"/>
      <c r="R2" s="8" t="s">
        <v>103</v>
      </c>
      <c r="S2" s="8"/>
      <c r="T2" s="8"/>
      <c r="U2" s="8"/>
      <c r="V2" s="8"/>
      <c r="W2" s="8"/>
      <c r="X2" s="8"/>
      <c r="Y2" s="8"/>
      <c r="Z2" s="8" t="s">
        <v>104</v>
      </c>
      <c r="AA2" s="8"/>
      <c r="AB2" s="8"/>
      <c r="AC2" s="8"/>
      <c r="AD2" s="8"/>
      <c r="AE2" s="8"/>
      <c r="AF2" s="8"/>
      <c r="AG2" s="8"/>
      <c r="AH2" s="8" t="s">
        <v>105</v>
      </c>
      <c r="AI2" s="8"/>
      <c r="AJ2" s="8"/>
      <c r="AK2" s="8"/>
      <c r="AL2" s="8"/>
      <c r="AM2" s="8"/>
      <c r="AN2" s="8"/>
      <c r="AO2" s="8"/>
      <c r="AP2" s="8" t="s">
        <v>106</v>
      </c>
      <c r="AQ2" s="8"/>
      <c r="AR2" s="8"/>
      <c r="AS2" s="8"/>
      <c r="AT2" s="8"/>
      <c r="AU2" s="8"/>
      <c r="AV2" s="8"/>
      <c r="AW2" s="8"/>
      <c r="AX2" s="8" t="s">
        <v>107</v>
      </c>
      <c r="AY2" s="8"/>
      <c r="AZ2" s="8"/>
      <c r="BA2" s="8"/>
      <c r="BB2" s="8"/>
      <c r="BC2" s="8"/>
      <c r="BD2" s="8"/>
      <c r="BE2" s="8"/>
      <c r="BF2" s="8" t="s">
        <v>108</v>
      </c>
      <c r="BG2" s="8"/>
      <c r="BH2" s="8"/>
      <c r="BI2" s="8"/>
      <c r="BJ2" s="8"/>
      <c r="BK2" s="8"/>
      <c r="BL2" s="8"/>
      <c r="BM2" s="8"/>
      <c r="BN2" s="8" t="s">
        <v>109</v>
      </c>
      <c r="BO2" s="8"/>
      <c r="BP2" s="8"/>
      <c r="BQ2" s="8"/>
      <c r="BR2" s="8"/>
      <c r="BS2" s="8"/>
      <c r="BT2" s="8"/>
      <c r="BU2" s="8"/>
      <c r="BV2" s="8" t="s">
        <v>110</v>
      </c>
    </row>
    <row r="3" spans="1:79" s="184" customFormat="1" x14ac:dyDescent="0.3">
      <c r="A3" s="183"/>
      <c r="B3" s="183" t="str">
        <f>INDEX(lstProjects,1)</f>
        <v>ABC Integration</v>
      </c>
      <c r="C3" s="183"/>
      <c r="D3" s="183"/>
      <c r="E3" s="183"/>
      <c r="F3" s="183"/>
      <c r="G3" s="183"/>
      <c r="H3" s="183"/>
      <c r="I3" s="183"/>
      <c r="J3" s="183" t="str">
        <f>INDEX(lstProjects,2)</f>
        <v>Morlott Highway</v>
      </c>
      <c r="K3" s="183"/>
      <c r="L3" s="183"/>
      <c r="M3" s="183"/>
      <c r="N3" s="183"/>
      <c r="O3" s="183"/>
      <c r="P3" s="183"/>
      <c r="Q3" s="183"/>
      <c r="R3" s="183" t="str">
        <f>INDEX(lstProjects,3)</f>
        <v>Riggs-A-lot decomissioning</v>
      </c>
      <c r="S3" s="183"/>
      <c r="T3" s="183"/>
      <c r="U3" s="183"/>
      <c r="V3" s="183"/>
      <c r="W3" s="183"/>
      <c r="X3" s="183"/>
      <c r="Y3" s="183"/>
      <c r="Z3" s="183" t="str">
        <f>INDEX(lstProjects,4)</f>
        <v>12th Annual Customer Convention</v>
      </c>
      <c r="AA3" s="183"/>
      <c r="AB3" s="183"/>
      <c r="AC3" s="183"/>
      <c r="AD3" s="183"/>
      <c r="AE3" s="183"/>
      <c r="AF3" s="183"/>
      <c r="AG3" s="183"/>
      <c r="AH3" s="183" t="str">
        <f>INDEX(lstProjects,5)</f>
        <v>Six Sigma Assessment</v>
      </c>
      <c r="AI3" s="183"/>
      <c r="AJ3" s="183"/>
      <c r="AK3" s="183"/>
      <c r="AL3" s="183"/>
      <c r="AM3" s="183"/>
      <c r="AN3" s="183"/>
      <c r="AO3" s="183"/>
      <c r="AP3" s="183" t="str">
        <f>INDEX(lstProjects,6)</f>
        <v>CBM Development</v>
      </c>
      <c r="AQ3" s="183"/>
      <c r="AR3" s="183"/>
      <c r="AS3" s="183"/>
      <c r="AT3" s="183"/>
      <c r="AU3" s="183"/>
      <c r="AV3" s="183"/>
      <c r="AW3" s="183"/>
      <c r="AX3" s="183" t="str">
        <f>INDEX(lstProjects,7)</f>
        <v>ASSOC Maintenance</v>
      </c>
      <c r="AY3" s="183"/>
      <c r="AZ3" s="183"/>
      <c r="BA3" s="183"/>
      <c r="BB3" s="183"/>
      <c r="BC3" s="183"/>
      <c r="BD3" s="183"/>
      <c r="BE3" s="183"/>
      <c r="BF3" s="183" t="str">
        <f>INDEX(lstProjects,8)</f>
        <v>HRM Rollout</v>
      </c>
      <c r="BG3" s="183"/>
      <c r="BH3" s="183"/>
      <c r="BI3" s="183"/>
      <c r="BJ3" s="183"/>
      <c r="BK3" s="183"/>
      <c r="BL3" s="183"/>
      <c r="BM3" s="183"/>
      <c r="BN3" s="183" t="e">
        <f>INDEX(lstProjects,9)</f>
        <v>#REF!</v>
      </c>
      <c r="BO3" s="183"/>
      <c r="BP3" s="183"/>
      <c r="BQ3" s="183"/>
      <c r="BR3" s="183"/>
      <c r="BS3" s="183"/>
      <c r="BT3" s="183"/>
      <c r="BU3" s="183"/>
      <c r="BV3" s="183" t="e">
        <f>INDEX(lstProjects,10)</f>
        <v>#REF!</v>
      </c>
    </row>
    <row r="5" spans="1:79" x14ac:dyDescent="0.3">
      <c r="B5" s="7" t="s">
        <v>1</v>
      </c>
      <c r="C5" s="7" t="s">
        <v>2</v>
      </c>
      <c r="D5" s="7" t="s">
        <v>3</v>
      </c>
      <c r="E5" s="7" t="s">
        <v>7</v>
      </c>
      <c r="F5" s="7" t="s">
        <v>5</v>
      </c>
      <c r="G5" s="7" t="s">
        <v>6</v>
      </c>
      <c r="J5" s="7" t="s">
        <v>1</v>
      </c>
      <c r="K5" s="7" t="s">
        <v>2</v>
      </c>
      <c r="L5" s="7" t="s">
        <v>3</v>
      </c>
      <c r="M5" s="7" t="s">
        <v>7</v>
      </c>
      <c r="N5" s="7" t="s">
        <v>5</v>
      </c>
      <c r="O5" s="7" t="s">
        <v>6</v>
      </c>
      <c r="R5" s="7" t="s">
        <v>1</v>
      </c>
      <c r="S5" s="7" t="s">
        <v>2</v>
      </c>
      <c r="T5" s="7" t="s">
        <v>3</v>
      </c>
      <c r="U5" s="7" t="s">
        <v>7</v>
      </c>
      <c r="V5" s="7" t="s">
        <v>5</v>
      </c>
      <c r="W5" s="7" t="s">
        <v>6</v>
      </c>
      <c r="Z5" s="7" t="s">
        <v>1</v>
      </c>
      <c r="AA5" s="7" t="s">
        <v>2</v>
      </c>
      <c r="AB5" s="7" t="s">
        <v>3</v>
      </c>
      <c r="AC5" s="7" t="s">
        <v>7</v>
      </c>
      <c r="AD5" s="7" t="s">
        <v>5</v>
      </c>
      <c r="AE5" s="7" t="s">
        <v>6</v>
      </c>
      <c r="AH5" s="7" t="s">
        <v>1</v>
      </c>
      <c r="AI5" s="7" t="s">
        <v>2</v>
      </c>
      <c r="AJ5" s="7" t="s">
        <v>3</v>
      </c>
      <c r="AK5" s="7" t="s">
        <v>7</v>
      </c>
      <c r="AL5" s="7" t="s">
        <v>5</v>
      </c>
      <c r="AM5" s="7" t="s">
        <v>6</v>
      </c>
      <c r="AP5" s="7" t="s">
        <v>1</v>
      </c>
      <c r="AQ5" s="7" t="s">
        <v>2</v>
      </c>
      <c r="AR5" s="7" t="s">
        <v>3</v>
      </c>
      <c r="AS5" s="7" t="s">
        <v>7</v>
      </c>
      <c r="AT5" s="7" t="s">
        <v>5</v>
      </c>
      <c r="AU5" s="7" t="s">
        <v>6</v>
      </c>
      <c r="AX5" s="7" t="s">
        <v>1</v>
      </c>
      <c r="AY5" s="7" t="s">
        <v>2</v>
      </c>
      <c r="AZ5" s="7" t="s">
        <v>3</v>
      </c>
      <c r="BA5" s="7" t="s">
        <v>7</v>
      </c>
      <c r="BB5" s="7" t="s">
        <v>5</v>
      </c>
      <c r="BC5" s="7" t="s">
        <v>6</v>
      </c>
      <c r="BF5" s="7" t="s">
        <v>1</v>
      </c>
      <c r="BG5" s="7" t="s">
        <v>2</v>
      </c>
      <c r="BH5" s="7" t="s">
        <v>3</v>
      </c>
      <c r="BI5" s="7" t="s">
        <v>7</v>
      </c>
      <c r="BJ5" s="7" t="s">
        <v>5</v>
      </c>
      <c r="BK5" s="7" t="s">
        <v>6</v>
      </c>
      <c r="BN5" s="7" t="s">
        <v>1</v>
      </c>
      <c r="BO5" s="7" t="s">
        <v>2</v>
      </c>
      <c r="BP5" s="7" t="s">
        <v>3</v>
      </c>
      <c r="BQ5" s="7" t="s">
        <v>7</v>
      </c>
      <c r="BR5" s="7" t="s">
        <v>5</v>
      </c>
      <c r="BS5" s="7" t="s">
        <v>6</v>
      </c>
      <c r="BV5" s="7" t="s">
        <v>1</v>
      </c>
      <c r="BW5" s="7" t="s">
        <v>2</v>
      </c>
      <c r="BX5" s="7" t="s">
        <v>3</v>
      </c>
      <c r="BY5" s="7" t="s">
        <v>7</v>
      </c>
      <c r="BZ5" s="7" t="s">
        <v>5</v>
      </c>
      <c r="CA5" s="7" t="s">
        <v>6</v>
      </c>
    </row>
    <row r="6" spans="1:79" x14ac:dyDescent="0.3">
      <c r="B6" s="4" t="s">
        <v>8</v>
      </c>
      <c r="C6" s="5">
        <v>40782</v>
      </c>
      <c r="D6" s="4">
        <v>14</v>
      </c>
      <c r="E6" s="6">
        <v>0.77</v>
      </c>
      <c r="F6" s="4">
        <v>5000</v>
      </c>
      <c r="G6" s="4">
        <v>3176</v>
      </c>
      <c r="J6" s="4" t="s">
        <v>8</v>
      </c>
      <c r="K6" s="5">
        <v>40812</v>
      </c>
      <c r="L6" s="4">
        <v>14</v>
      </c>
      <c r="M6" s="6">
        <v>0.89</v>
      </c>
      <c r="N6" s="4">
        <v>4000</v>
      </c>
      <c r="O6" s="4">
        <v>3234</v>
      </c>
      <c r="R6" s="4" t="s">
        <v>8</v>
      </c>
      <c r="S6" s="5">
        <v>40782</v>
      </c>
      <c r="T6" s="4">
        <v>14</v>
      </c>
      <c r="U6" s="6">
        <v>0.89</v>
      </c>
      <c r="V6" s="4">
        <v>5000</v>
      </c>
      <c r="W6" s="4">
        <v>4298</v>
      </c>
      <c r="Z6" s="4" t="s">
        <v>8</v>
      </c>
      <c r="AA6" s="5">
        <v>40782</v>
      </c>
      <c r="AB6" s="4">
        <v>21</v>
      </c>
      <c r="AC6" s="6">
        <v>0.83</v>
      </c>
      <c r="AD6" s="4">
        <v>5000</v>
      </c>
      <c r="AE6" s="4">
        <v>2210</v>
      </c>
      <c r="AH6" s="4" t="s">
        <v>8</v>
      </c>
      <c r="AI6" s="5">
        <v>40782</v>
      </c>
      <c r="AJ6" s="4">
        <v>14</v>
      </c>
      <c r="AK6" s="6">
        <v>0.83</v>
      </c>
      <c r="AL6" s="4">
        <v>3000</v>
      </c>
      <c r="AM6" s="4">
        <v>2338</v>
      </c>
      <c r="AP6" s="4" t="s">
        <v>8</v>
      </c>
      <c r="AQ6" s="5">
        <v>40782</v>
      </c>
      <c r="AR6" s="4">
        <v>21</v>
      </c>
      <c r="AS6" s="6">
        <v>0.8</v>
      </c>
      <c r="AT6" s="4">
        <v>3000</v>
      </c>
      <c r="AU6" s="4">
        <v>159</v>
      </c>
      <c r="AX6" s="4" t="s">
        <v>8</v>
      </c>
      <c r="AY6" s="5">
        <v>40782</v>
      </c>
      <c r="AZ6" s="4">
        <v>14</v>
      </c>
      <c r="BA6" s="6">
        <v>0.77</v>
      </c>
      <c r="BB6" s="4">
        <v>2000</v>
      </c>
      <c r="BC6" s="4">
        <v>1243</v>
      </c>
      <c r="BF6" s="4" t="s">
        <v>8</v>
      </c>
      <c r="BG6" s="5">
        <v>40782</v>
      </c>
      <c r="BH6" s="4">
        <v>21</v>
      </c>
      <c r="BI6" s="6">
        <v>0.83</v>
      </c>
      <c r="BJ6" s="4">
        <v>1000</v>
      </c>
      <c r="BK6" s="4">
        <v>291</v>
      </c>
      <c r="BN6" s="4" t="s">
        <v>8</v>
      </c>
      <c r="BO6" s="5">
        <v>40812</v>
      </c>
      <c r="BP6" s="4">
        <v>14</v>
      </c>
      <c r="BQ6" s="6">
        <v>0.89</v>
      </c>
      <c r="BR6" s="4">
        <v>1000</v>
      </c>
      <c r="BS6" s="4">
        <v>343</v>
      </c>
      <c r="BV6" s="4" t="s">
        <v>8</v>
      </c>
      <c r="BW6" s="5">
        <v>40782</v>
      </c>
      <c r="BX6" s="4">
        <v>21</v>
      </c>
      <c r="BY6" s="6">
        <v>0.76</v>
      </c>
      <c r="BZ6" s="4">
        <v>5000</v>
      </c>
      <c r="CA6" s="4">
        <v>1965</v>
      </c>
    </row>
    <row r="7" spans="1:79" x14ac:dyDescent="0.3">
      <c r="B7" s="4" t="s">
        <v>9</v>
      </c>
      <c r="C7" s="5">
        <v>40801</v>
      </c>
      <c r="D7" s="4">
        <v>21</v>
      </c>
      <c r="E7" s="6">
        <v>0.17</v>
      </c>
      <c r="F7" s="4">
        <v>1000</v>
      </c>
      <c r="G7" s="4">
        <v>119</v>
      </c>
      <c r="J7" s="4" t="s">
        <v>9</v>
      </c>
      <c r="K7" s="5">
        <v>40829</v>
      </c>
      <c r="L7" s="4">
        <v>7</v>
      </c>
      <c r="M7" s="6">
        <v>0.14000000000000001</v>
      </c>
      <c r="N7" s="4">
        <v>4000</v>
      </c>
      <c r="O7" s="4">
        <v>227</v>
      </c>
      <c r="R7" s="4" t="s">
        <v>9</v>
      </c>
      <c r="S7" s="5">
        <v>40798</v>
      </c>
      <c r="T7" s="4">
        <v>7</v>
      </c>
      <c r="U7" s="6">
        <v>0</v>
      </c>
      <c r="V7" s="4">
        <v>1000</v>
      </c>
      <c r="W7" s="4">
        <v>0</v>
      </c>
      <c r="Z7" s="4" t="s">
        <v>9</v>
      </c>
      <c r="AA7" s="5">
        <v>40795</v>
      </c>
      <c r="AB7" s="4">
        <v>21</v>
      </c>
      <c r="AC7" s="6">
        <v>0</v>
      </c>
      <c r="AD7" s="4">
        <v>1000</v>
      </c>
      <c r="AE7" s="4">
        <v>0</v>
      </c>
      <c r="AH7" s="4" t="s">
        <v>9</v>
      </c>
      <c r="AI7" s="5">
        <v>40793</v>
      </c>
      <c r="AJ7" s="4">
        <v>14</v>
      </c>
      <c r="AK7" s="6">
        <v>0.19</v>
      </c>
      <c r="AL7" s="4">
        <v>1000</v>
      </c>
      <c r="AM7" s="4">
        <v>139</v>
      </c>
      <c r="AP7" s="4" t="s">
        <v>9</v>
      </c>
      <c r="AQ7" s="5">
        <v>40793</v>
      </c>
      <c r="AR7" s="4">
        <v>7</v>
      </c>
      <c r="AS7" s="6">
        <v>0.38</v>
      </c>
      <c r="AT7" s="4">
        <v>2000</v>
      </c>
      <c r="AU7" s="4">
        <v>46</v>
      </c>
      <c r="AX7" s="4" t="s">
        <v>9</v>
      </c>
      <c r="AY7" s="5">
        <v>40800</v>
      </c>
      <c r="AZ7" s="4">
        <v>21</v>
      </c>
      <c r="BA7" s="6">
        <v>0.3</v>
      </c>
      <c r="BB7" s="4">
        <v>4000</v>
      </c>
      <c r="BC7" s="4">
        <v>521</v>
      </c>
      <c r="BF7" s="4" t="s">
        <v>9</v>
      </c>
      <c r="BG7" s="5">
        <v>40800</v>
      </c>
      <c r="BH7" s="4">
        <v>7</v>
      </c>
      <c r="BI7" s="6">
        <v>0</v>
      </c>
      <c r="BJ7" s="4">
        <v>1000</v>
      </c>
      <c r="BK7" s="4">
        <v>0</v>
      </c>
      <c r="BN7" s="4" t="s">
        <v>9</v>
      </c>
      <c r="BO7" s="5">
        <v>40828</v>
      </c>
      <c r="BP7" s="4">
        <v>14</v>
      </c>
      <c r="BQ7" s="6">
        <v>0.47</v>
      </c>
      <c r="BR7" s="4">
        <v>3000</v>
      </c>
      <c r="BS7" s="4">
        <v>458</v>
      </c>
      <c r="BV7" s="4" t="s">
        <v>9</v>
      </c>
      <c r="BW7" s="5">
        <v>40792</v>
      </c>
      <c r="BX7" s="4">
        <v>7</v>
      </c>
      <c r="BY7" s="6">
        <v>0.26</v>
      </c>
      <c r="BZ7" s="4">
        <v>5000</v>
      </c>
      <c r="CA7" s="4">
        <v>96</v>
      </c>
    </row>
    <row r="8" spans="1:79" x14ac:dyDescent="0.3">
      <c r="B8" s="4" t="s">
        <v>10</v>
      </c>
      <c r="C8" s="5">
        <v>40820</v>
      </c>
      <c r="D8" s="4">
        <v>14</v>
      </c>
      <c r="E8" s="6">
        <v>0.51</v>
      </c>
      <c r="F8" s="4">
        <v>4000</v>
      </c>
      <c r="G8" s="4">
        <v>262</v>
      </c>
      <c r="J8" s="4" t="s">
        <v>10</v>
      </c>
      <c r="K8" s="5">
        <v>40847</v>
      </c>
      <c r="L8" s="4">
        <v>14</v>
      </c>
      <c r="M8" s="6">
        <v>0.3</v>
      </c>
      <c r="N8" s="4">
        <v>4000</v>
      </c>
      <c r="O8" s="4">
        <v>914</v>
      </c>
      <c r="R8" s="4" t="s">
        <v>10</v>
      </c>
      <c r="S8" s="5">
        <v>40812</v>
      </c>
      <c r="T8" s="4">
        <v>7</v>
      </c>
      <c r="U8" s="6">
        <v>0</v>
      </c>
      <c r="V8" s="4">
        <v>5000</v>
      </c>
      <c r="W8" s="4">
        <v>0</v>
      </c>
      <c r="Z8" s="4" t="s">
        <v>10</v>
      </c>
      <c r="AA8" s="5">
        <v>40806</v>
      </c>
      <c r="AB8" s="4">
        <v>14</v>
      </c>
      <c r="AC8" s="6">
        <v>0</v>
      </c>
      <c r="AD8" s="4">
        <v>2000</v>
      </c>
      <c r="AE8" s="4">
        <v>0</v>
      </c>
      <c r="AH8" s="4" t="s">
        <v>10</v>
      </c>
      <c r="AI8" s="5">
        <v>40812</v>
      </c>
      <c r="AJ8" s="4">
        <v>7</v>
      </c>
      <c r="AK8" s="6">
        <v>0</v>
      </c>
      <c r="AL8" s="4">
        <v>2000</v>
      </c>
      <c r="AM8" s="4">
        <v>0</v>
      </c>
      <c r="AP8" s="4" t="s">
        <v>10</v>
      </c>
      <c r="AQ8" s="5">
        <v>40812</v>
      </c>
      <c r="AR8" s="4">
        <v>7</v>
      </c>
      <c r="AS8" s="6">
        <v>0.56000000000000005</v>
      </c>
      <c r="AT8" s="4">
        <v>1000</v>
      </c>
      <c r="AU8" s="4">
        <v>293</v>
      </c>
      <c r="AX8" s="4" t="s">
        <v>10</v>
      </c>
      <c r="AY8" s="5">
        <v>40813</v>
      </c>
      <c r="AZ8" s="4">
        <v>14</v>
      </c>
      <c r="BA8" s="6">
        <v>0</v>
      </c>
      <c r="BB8" s="4">
        <v>1000</v>
      </c>
      <c r="BC8" s="4">
        <v>0</v>
      </c>
      <c r="BF8" s="4" t="s">
        <v>10</v>
      </c>
      <c r="BG8" s="5">
        <v>40809</v>
      </c>
      <c r="BH8" s="4">
        <v>14</v>
      </c>
      <c r="BI8" s="6">
        <v>0</v>
      </c>
      <c r="BJ8" s="4">
        <v>5000</v>
      </c>
      <c r="BK8" s="4">
        <v>0</v>
      </c>
      <c r="BN8" s="4" t="s">
        <v>10</v>
      </c>
      <c r="BO8" s="5">
        <v>40848</v>
      </c>
      <c r="BP8" s="4">
        <v>7</v>
      </c>
      <c r="BQ8" s="6">
        <v>0.14000000000000001</v>
      </c>
      <c r="BR8" s="4">
        <v>3000</v>
      </c>
      <c r="BS8" s="4">
        <v>43</v>
      </c>
      <c r="BV8" s="4" t="s">
        <v>10</v>
      </c>
      <c r="BW8" s="5">
        <v>40807</v>
      </c>
      <c r="BX8" s="4">
        <v>14</v>
      </c>
      <c r="BY8" s="6">
        <v>0.37</v>
      </c>
      <c r="BZ8" s="4">
        <v>1000</v>
      </c>
      <c r="CA8" s="4">
        <v>227</v>
      </c>
    </row>
    <row r="9" spans="1:79" x14ac:dyDescent="0.3">
      <c r="B9" s="4" t="s">
        <v>11</v>
      </c>
      <c r="C9" s="5">
        <v>40833</v>
      </c>
      <c r="D9" s="4">
        <v>14</v>
      </c>
      <c r="E9" s="6">
        <v>0</v>
      </c>
      <c r="F9" s="4">
        <v>3000</v>
      </c>
      <c r="G9" s="4">
        <v>0</v>
      </c>
      <c r="J9" s="4" t="s">
        <v>11</v>
      </c>
      <c r="K9" s="5">
        <v>40863</v>
      </c>
      <c r="L9" s="4">
        <v>7</v>
      </c>
      <c r="M9" s="6">
        <v>0.51</v>
      </c>
      <c r="N9" s="4">
        <v>1000</v>
      </c>
      <c r="O9" s="4">
        <v>0</v>
      </c>
      <c r="R9" s="4" t="s">
        <v>11</v>
      </c>
      <c r="S9" s="5">
        <v>40826</v>
      </c>
      <c r="T9" s="4">
        <v>21</v>
      </c>
      <c r="U9" s="6">
        <v>0.01</v>
      </c>
      <c r="V9" s="4">
        <v>1000</v>
      </c>
      <c r="W9" s="4">
        <v>5</v>
      </c>
      <c r="Z9" s="4" t="s">
        <v>11</v>
      </c>
      <c r="AA9" s="5">
        <v>40822</v>
      </c>
      <c r="AB9" s="4">
        <v>7</v>
      </c>
      <c r="AC9" s="6">
        <v>0.56000000000000005</v>
      </c>
      <c r="AD9" s="4">
        <v>4000</v>
      </c>
      <c r="AE9" s="4">
        <v>266</v>
      </c>
      <c r="AH9" s="4" t="s">
        <v>11</v>
      </c>
      <c r="AI9" s="5">
        <v>40826</v>
      </c>
      <c r="AJ9" s="4">
        <v>7</v>
      </c>
      <c r="AK9" s="6">
        <v>0.66</v>
      </c>
      <c r="AL9" s="4">
        <v>5000</v>
      </c>
      <c r="AM9" s="4">
        <v>3591</v>
      </c>
      <c r="AP9" s="4" t="s">
        <v>11</v>
      </c>
      <c r="AQ9" s="5">
        <v>40828</v>
      </c>
      <c r="AR9" s="4">
        <v>7</v>
      </c>
      <c r="AS9" s="6">
        <v>0.63</v>
      </c>
      <c r="AT9" s="4">
        <v>2000</v>
      </c>
      <c r="AU9" s="4">
        <v>272</v>
      </c>
      <c r="AX9" s="4" t="s">
        <v>11</v>
      </c>
      <c r="AY9" s="5">
        <v>40823</v>
      </c>
      <c r="AZ9" s="4">
        <v>14</v>
      </c>
      <c r="BA9" s="6">
        <v>0</v>
      </c>
      <c r="BB9" s="4">
        <v>3000</v>
      </c>
      <c r="BC9" s="4">
        <v>0</v>
      </c>
      <c r="BF9" s="4" t="s">
        <v>11</v>
      </c>
      <c r="BG9" s="5">
        <v>40822</v>
      </c>
      <c r="BH9" s="4">
        <v>7</v>
      </c>
      <c r="BI9" s="6">
        <v>0</v>
      </c>
      <c r="BJ9" s="4">
        <v>4000</v>
      </c>
      <c r="BK9" s="4">
        <v>0</v>
      </c>
      <c r="BN9" s="4" t="s">
        <v>11</v>
      </c>
      <c r="BO9" s="5">
        <v>40858</v>
      </c>
      <c r="BP9" s="4">
        <v>21</v>
      </c>
      <c r="BQ9" s="6">
        <v>0.55000000000000004</v>
      </c>
      <c r="BR9" s="4">
        <v>3000</v>
      </c>
      <c r="BS9" s="4">
        <v>1763</v>
      </c>
      <c r="BV9" s="4" t="s">
        <v>11</v>
      </c>
      <c r="BW9" s="5">
        <v>40819</v>
      </c>
      <c r="BX9" s="4">
        <v>7</v>
      </c>
      <c r="BY9" s="6">
        <v>0.13</v>
      </c>
      <c r="BZ9" s="4">
        <v>1000</v>
      </c>
      <c r="CA9" s="4">
        <v>11</v>
      </c>
    </row>
    <row r="10" spans="1:79" x14ac:dyDescent="0.3">
      <c r="B10" s="4" t="s">
        <v>12</v>
      </c>
      <c r="C10" s="5">
        <v>40843</v>
      </c>
      <c r="D10" s="4">
        <v>14</v>
      </c>
      <c r="E10" s="6">
        <v>0.68</v>
      </c>
      <c r="F10" s="4">
        <v>3000</v>
      </c>
      <c r="G10" s="4">
        <v>1798</v>
      </c>
      <c r="J10" s="4" t="s">
        <v>12</v>
      </c>
      <c r="K10" s="5">
        <v>40877</v>
      </c>
      <c r="L10" s="4">
        <v>14</v>
      </c>
      <c r="M10" s="6">
        <v>0</v>
      </c>
      <c r="N10" s="4">
        <v>3000</v>
      </c>
      <c r="O10" s="4">
        <v>0</v>
      </c>
      <c r="R10" s="4" t="s">
        <v>12</v>
      </c>
      <c r="S10" s="5">
        <v>40835</v>
      </c>
      <c r="T10" s="4">
        <v>21</v>
      </c>
      <c r="U10" s="6">
        <v>0.46</v>
      </c>
      <c r="V10" s="4">
        <v>2000</v>
      </c>
      <c r="W10" s="4">
        <v>1003</v>
      </c>
      <c r="Z10" s="4" t="s">
        <v>12</v>
      </c>
      <c r="AA10" s="5">
        <v>40842</v>
      </c>
      <c r="AB10" s="4">
        <v>7</v>
      </c>
      <c r="AC10" s="6">
        <v>0.12</v>
      </c>
      <c r="AD10" s="4">
        <v>5000</v>
      </c>
      <c r="AE10" s="4">
        <v>399</v>
      </c>
      <c r="AH10" s="4" t="s">
        <v>12</v>
      </c>
      <c r="AI10" s="5">
        <v>40841</v>
      </c>
      <c r="AJ10" s="4">
        <v>21</v>
      </c>
      <c r="AK10" s="6">
        <v>0.69</v>
      </c>
      <c r="AL10" s="4">
        <v>2000</v>
      </c>
      <c r="AM10" s="4">
        <v>1223</v>
      </c>
      <c r="AP10" s="4" t="s">
        <v>12</v>
      </c>
      <c r="AQ10" s="5">
        <v>40837</v>
      </c>
      <c r="AR10" s="4">
        <v>7</v>
      </c>
      <c r="AS10" s="6">
        <v>0</v>
      </c>
      <c r="AT10" s="4">
        <v>5000</v>
      </c>
      <c r="AU10" s="4">
        <v>0</v>
      </c>
      <c r="AX10" s="4" t="s">
        <v>12</v>
      </c>
      <c r="AY10" s="5">
        <v>40843</v>
      </c>
      <c r="AZ10" s="4">
        <v>21</v>
      </c>
      <c r="BA10" s="6">
        <v>0</v>
      </c>
      <c r="BB10" s="4">
        <v>5000</v>
      </c>
      <c r="BC10" s="4">
        <v>0</v>
      </c>
      <c r="BF10" s="4" t="s">
        <v>12</v>
      </c>
      <c r="BG10" s="5">
        <v>40834</v>
      </c>
      <c r="BH10" s="4">
        <v>7</v>
      </c>
      <c r="BI10" s="6">
        <v>0.41</v>
      </c>
      <c r="BJ10" s="4">
        <v>2000</v>
      </c>
      <c r="BK10" s="4">
        <v>218</v>
      </c>
      <c r="BN10" s="4" t="s">
        <v>12</v>
      </c>
      <c r="BO10" s="5">
        <v>40872</v>
      </c>
      <c r="BP10" s="4">
        <v>14</v>
      </c>
      <c r="BQ10" s="6">
        <v>0.69</v>
      </c>
      <c r="BR10" s="4">
        <v>3000</v>
      </c>
      <c r="BS10" s="4">
        <v>1549</v>
      </c>
      <c r="BV10" s="4" t="s">
        <v>12</v>
      </c>
      <c r="BW10" s="5">
        <v>40835</v>
      </c>
      <c r="BX10" s="4">
        <v>7</v>
      </c>
      <c r="BY10" s="6">
        <v>0</v>
      </c>
      <c r="BZ10" s="4">
        <v>1000</v>
      </c>
      <c r="CA10" s="4">
        <v>0</v>
      </c>
    </row>
    <row r="11" spans="1:79" x14ac:dyDescent="0.3">
      <c r="B11" s="4" t="s">
        <v>13</v>
      </c>
      <c r="C11" s="5">
        <v>40855</v>
      </c>
      <c r="D11" s="4">
        <v>14</v>
      </c>
      <c r="E11" s="6">
        <v>0</v>
      </c>
      <c r="F11" s="4">
        <v>2000</v>
      </c>
      <c r="G11" s="4">
        <v>0</v>
      </c>
      <c r="J11" s="4" t="s">
        <v>13</v>
      </c>
      <c r="K11" s="5">
        <v>40890</v>
      </c>
      <c r="L11" s="4">
        <v>7</v>
      </c>
      <c r="M11" s="6">
        <v>0</v>
      </c>
      <c r="N11" s="4">
        <v>5000</v>
      </c>
      <c r="O11" s="4">
        <v>0</v>
      </c>
      <c r="R11" s="4" t="s">
        <v>13</v>
      </c>
      <c r="S11" s="5">
        <v>40850</v>
      </c>
      <c r="T11" s="4">
        <v>21</v>
      </c>
      <c r="U11" s="6">
        <v>0.28000000000000003</v>
      </c>
      <c r="V11" s="4">
        <v>4000</v>
      </c>
      <c r="W11" s="4">
        <v>705</v>
      </c>
      <c r="Z11" s="4" t="s">
        <v>13</v>
      </c>
      <c r="AA11" s="5">
        <v>40854</v>
      </c>
      <c r="AB11" s="4">
        <v>21</v>
      </c>
      <c r="AC11" s="6">
        <v>0</v>
      </c>
      <c r="AD11" s="4">
        <v>3000</v>
      </c>
      <c r="AE11" s="4">
        <v>0</v>
      </c>
      <c r="AH11" s="4" t="s">
        <v>13</v>
      </c>
      <c r="AI11" s="5">
        <v>40854</v>
      </c>
      <c r="AJ11" s="4">
        <v>7</v>
      </c>
      <c r="AK11" s="6">
        <v>0</v>
      </c>
      <c r="AL11" s="4">
        <v>2000</v>
      </c>
      <c r="AM11" s="4">
        <v>0</v>
      </c>
      <c r="AP11" s="4" t="s">
        <v>13</v>
      </c>
      <c r="AQ11" s="5">
        <v>40855</v>
      </c>
      <c r="AR11" s="4">
        <v>21</v>
      </c>
      <c r="AS11" s="6">
        <v>0</v>
      </c>
      <c r="AT11" s="4">
        <v>1000</v>
      </c>
      <c r="AU11" s="4">
        <v>0</v>
      </c>
      <c r="AX11" s="4" t="s">
        <v>13</v>
      </c>
      <c r="AY11" s="5">
        <v>40857</v>
      </c>
      <c r="AZ11" s="4">
        <v>7</v>
      </c>
      <c r="BA11" s="6">
        <v>0.45</v>
      </c>
      <c r="BB11" s="4">
        <v>1000</v>
      </c>
      <c r="BC11" s="4">
        <v>145</v>
      </c>
      <c r="BF11" s="4" t="s">
        <v>13</v>
      </c>
      <c r="BG11" s="5">
        <v>40844</v>
      </c>
      <c r="BH11" s="4">
        <v>14</v>
      </c>
      <c r="BI11" s="6">
        <v>0.53</v>
      </c>
      <c r="BJ11" s="4">
        <v>5000</v>
      </c>
      <c r="BK11" s="4">
        <v>259</v>
      </c>
      <c r="BN11" s="4" t="s">
        <v>13</v>
      </c>
      <c r="BO11" s="5">
        <v>40885</v>
      </c>
      <c r="BP11" s="4">
        <v>7</v>
      </c>
      <c r="BQ11" s="6">
        <v>0</v>
      </c>
      <c r="BR11" s="4">
        <v>3000</v>
      </c>
      <c r="BS11" s="4">
        <v>0</v>
      </c>
      <c r="BV11" s="4" t="s">
        <v>13</v>
      </c>
      <c r="BW11" s="5">
        <v>40847</v>
      </c>
      <c r="BX11" s="4">
        <v>7</v>
      </c>
      <c r="BY11" s="6">
        <v>0.39</v>
      </c>
      <c r="BZ11" s="4">
        <v>3000</v>
      </c>
      <c r="CA11" s="4">
        <v>96</v>
      </c>
    </row>
    <row r="12" spans="1:79" x14ac:dyDescent="0.3">
      <c r="B12" s="4" t="s">
        <v>14</v>
      </c>
      <c r="C12" s="5">
        <v>40870</v>
      </c>
      <c r="D12" s="4">
        <v>14</v>
      </c>
      <c r="E12" s="6">
        <v>0</v>
      </c>
      <c r="F12" s="4">
        <v>3000</v>
      </c>
      <c r="G12" s="4">
        <v>0</v>
      </c>
      <c r="J12" s="4" t="s">
        <v>14</v>
      </c>
      <c r="K12" s="5">
        <v>40904</v>
      </c>
      <c r="L12" s="4">
        <v>7</v>
      </c>
      <c r="M12" s="6">
        <v>0</v>
      </c>
      <c r="N12" s="4">
        <v>1000</v>
      </c>
      <c r="O12" s="4">
        <v>0</v>
      </c>
      <c r="R12" s="4" t="s">
        <v>14</v>
      </c>
      <c r="S12" s="5">
        <v>40863</v>
      </c>
      <c r="T12" s="4">
        <v>21</v>
      </c>
      <c r="U12" s="6">
        <v>0</v>
      </c>
      <c r="V12" s="4">
        <v>2000</v>
      </c>
      <c r="W12" s="4">
        <v>0</v>
      </c>
      <c r="Z12" s="4" t="s">
        <v>14</v>
      </c>
      <c r="AA12" s="5">
        <v>40871</v>
      </c>
      <c r="AB12" s="4">
        <v>21</v>
      </c>
      <c r="AC12" s="6">
        <v>0</v>
      </c>
      <c r="AD12" s="4">
        <v>3000</v>
      </c>
      <c r="AE12" s="4">
        <v>0</v>
      </c>
      <c r="AH12" s="4" t="s">
        <v>14</v>
      </c>
      <c r="AI12" s="5">
        <v>40869</v>
      </c>
      <c r="AJ12" s="4">
        <v>14</v>
      </c>
      <c r="AK12" s="6">
        <v>0</v>
      </c>
      <c r="AL12" s="4">
        <v>4000</v>
      </c>
      <c r="AM12" s="4">
        <v>0</v>
      </c>
      <c r="AP12" s="4" t="s">
        <v>14</v>
      </c>
      <c r="AQ12" s="5">
        <v>40875</v>
      </c>
      <c r="AR12" s="4">
        <v>21</v>
      </c>
      <c r="AS12" s="6">
        <v>0</v>
      </c>
      <c r="AT12" s="4">
        <v>4000</v>
      </c>
      <c r="AU12" s="4">
        <v>0</v>
      </c>
      <c r="AX12" s="4" t="s">
        <v>14</v>
      </c>
      <c r="AY12" s="5">
        <v>40875</v>
      </c>
      <c r="AZ12" s="4">
        <v>21</v>
      </c>
      <c r="BA12" s="6">
        <v>0.32</v>
      </c>
      <c r="BB12" s="4">
        <v>1000</v>
      </c>
      <c r="BC12" s="4">
        <v>208</v>
      </c>
      <c r="BF12" s="4" t="s">
        <v>14</v>
      </c>
      <c r="BG12" s="5">
        <v>40861</v>
      </c>
      <c r="BH12" s="4">
        <v>14</v>
      </c>
      <c r="BI12" s="6">
        <v>0.67</v>
      </c>
      <c r="BJ12" s="4">
        <v>2000</v>
      </c>
      <c r="BK12" s="4">
        <v>1390</v>
      </c>
      <c r="BN12" s="4" t="s">
        <v>14</v>
      </c>
      <c r="BO12" s="5">
        <v>40900</v>
      </c>
      <c r="BP12" s="4">
        <v>7</v>
      </c>
      <c r="BQ12" s="6">
        <v>0</v>
      </c>
      <c r="BR12" s="4">
        <v>1000</v>
      </c>
      <c r="BS12" s="4">
        <v>0</v>
      </c>
      <c r="BV12" s="4" t="s">
        <v>14</v>
      </c>
      <c r="BW12" s="5">
        <v>40865</v>
      </c>
      <c r="BX12" s="4">
        <v>21</v>
      </c>
      <c r="BY12" s="6">
        <v>0.09</v>
      </c>
      <c r="BZ12" s="4">
        <v>2000</v>
      </c>
      <c r="CA12" s="4">
        <v>157</v>
      </c>
    </row>
    <row r="13" spans="1:79" x14ac:dyDescent="0.3">
      <c r="B13" s="4" t="s">
        <v>15</v>
      </c>
      <c r="C13" s="5">
        <v>40883</v>
      </c>
      <c r="D13" s="4">
        <v>7</v>
      </c>
      <c r="E13" s="6">
        <v>0.03</v>
      </c>
      <c r="F13" s="4">
        <v>2000</v>
      </c>
      <c r="G13" s="4">
        <v>54</v>
      </c>
      <c r="J13" s="4" t="s">
        <v>15</v>
      </c>
      <c r="K13" s="5">
        <v>40914</v>
      </c>
      <c r="L13" s="4">
        <v>7</v>
      </c>
      <c r="M13" s="6">
        <v>0.12</v>
      </c>
      <c r="N13" s="4">
        <v>5000</v>
      </c>
      <c r="O13" s="4">
        <v>581</v>
      </c>
      <c r="R13" s="4" t="s">
        <v>15</v>
      </c>
      <c r="S13" s="5">
        <v>40872</v>
      </c>
      <c r="T13" s="4">
        <v>21</v>
      </c>
      <c r="U13" s="6">
        <v>0.13</v>
      </c>
      <c r="V13" s="4">
        <v>3000</v>
      </c>
      <c r="W13" s="4">
        <v>7</v>
      </c>
      <c r="Z13" s="4" t="s">
        <v>15</v>
      </c>
      <c r="AA13" s="5">
        <v>40890</v>
      </c>
      <c r="AB13" s="4">
        <v>7</v>
      </c>
      <c r="AC13" s="6">
        <v>0</v>
      </c>
      <c r="AD13" s="4">
        <v>4000</v>
      </c>
      <c r="AE13" s="4">
        <v>0</v>
      </c>
      <c r="AH13" s="4" t="s">
        <v>15</v>
      </c>
      <c r="AI13" s="5">
        <v>40882</v>
      </c>
      <c r="AJ13" s="4">
        <v>21</v>
      </c>
      <c r="AK13" s="6">
        <v>0.33</v>
      </c>
      <c r="AL13" s="4">
        <v>4000</v>
      </c>
      <c r="AM13" s="4">
        <v>1125</v>
      </c>
      <c r="AP13" s="4" t="s">
        <v>15</v>
      </c>
      <c r="AQ13" s="5">
        <v>40885</v>
      </c>
      <c r="AR13" s="4">
        <v>14</v>
      </c>
      <c r="AS13" s="6">
        <v>0.13</v>
      </c>
      <c r="AT13" s="4">
        <v>4000</v>
      </c>
      <c r="AU13" s="4">
        <v>366</v>
      </c>
      <c r="AX13" s="4" t="s">
        <v>15</v>
      </c>
      <c r="AY13" s="5">
        <v>40891</v>
      </c>
      <c r="AZ13" s="4">
        <v>14</v>
      </c>
      <c r="BA13" s="6">
        <v>0.24</v>
      </c>
      <c r="BB13" s="4">
        <v>5000</v>
      </c>
      <c r="BC13" s="4">
        <v>895</v>
      </c>
      <c r="BF13" s="4" t="s">
        <v>15</v>
      </c>
      <c r="BG13" s="5">
        <v>40879</v>
      </c>
      <c r="BH13" s="4">
        <v>14</v>
      </c>
      <c r="BI13" s="6">
        <v>0</v>
      </c>
      <c r="BJ13" s="4">
        <v>2000</v>
      </c>
      <c r="BK13" s="4">
        <v>0</v>
      </c>
      <c r="BN13" s="4" t="s">
        <v>15</v>
      </c>
      <c r="BO13" s="5">
        <v>40912</v>
      </c>
      <c r="BP13" s="4">
        <v>7</v>
      </c>
      <c r="BQ13" s="6">
        <v>0</v>
      </c>
      <c r="BR13" s="4">
        <v>1000</v>
      </c>
      <c r="BS13" s="4">
        <v>0</v>
      </c>
      <c r="BV13" s="4" t="s">
        <v>15</v>
      </c>
      <c r="BW13" s="5">
        <v>40883</v>
      </c>
      <c r="BX13" s="4">
        <v>14</v>
      </c>
      <c r="BY13" s="6">
        <v>0</v>
      </c>
      <c r="BZ13" s="4">
        <v>3000</v>
      </c>
      <c r="CA13" s="4">
        <v>0</v>
      </c>
    </row>
    <row r="14" spans="1:79" x14ac:dyDescent="0.3">
      <c r="B14" s="4" t="s">
        <v>16</v>
      </c>
      <c r="C14" s="5">
        <v>40897</v>
      </c>
      <c r="D14" s="4">
        <v>21</v>
      </c>
      <c r="E14" s="6">
        <v>0.41</v>
      </c>
      <c r="F14" s="4">
        <v>4000</v>
      </c>
      <c r="G14" s="4">
        <v>864</v>
      </c>
      <c r="J14" s="4" t="s">
        <v>16</v>
      </c>
      <c r="K14" s="5">
        <v>40933</v>
      </c>
      <c r="L14" s="4">
        <v>14</v>
      </c>
      <c r="M14" s="6">
        <v>0.33</v>
      </c>
      <c r="N14" s="4">
        <v>5000</v>
      </c>
      <c r="O14" s="4">
        <v>1500</v>
      </c>
      <c r="R14" s="4" t="s">
        <v>16</v>
      </c>
      <c r="S14" s="5">
        <v>40883</v>
      </c>
      <c r="T14" s="4">
        <v>21</v>
      </c>
      <c r="U14" s="6">
        <v>0.38</v>
      </c>
      <c r="V14" s="4">
        <v>5000</v>
      </c>
      <c r="W14" s="4">
        <v>682</v>
      </c>
      <c r="Z14" s="4" t="s">
        <v>16</v>
      </c>
      <c r="AA14" s="5">
        <v>40904</v>
      </c>
      <c r="AB14" s="4">
        <v>21</v>
      </c>
      <c r="AC14" s="6">
        <v>0.27</v>
      </c>
      <c r="AD14" s="4">
        <v>5000</v>
      </c>
      <c r="AE14" s="4">
        <v>1344</v>
      </c>
      <c r="AH14" s="4" t="s">
        <v>16</v>
      </c>
      <c r="AI14" s="5">
        <v>40892</v>
      </c>
      <c r="AJ14" s="4">
        <v>21</v>
      </c>
      <c r="AK14" s="6">
        <v>0</v>
      </c>
      <c r="AL14" s="4">
        <v>3000</v>
      </c>
      <c r="AM14" s="4">
        <v>0</v>
      </c>
      <c r="AP14" s="4" t="s">
        <v>16</v>
      </c>
      <c r="AQ14" s="5">
        <v>40899</v>
      </c>
      <c r="AR14" s="4">
        <v>14</v>
      </c>
      <c r="AS14" s="6">
        <v>0.65</v>
      </c>
      <c r="AT14" s="4">
        <v>5000</v>
      </c>
      <c r="AU14" s="4">
        <v>2374</v>
      </c>
      <c r="AX14" s="4" t="s">
        <v>16</v>
      </c>
      <c r="AY14" s="5">
        <v>40907</v>
      </c>
      <c r="AZ14" s="4">
        <v>7</v>
      </c>
      <c r="BA14" s="6">
        <v>0</v>
      </c>
      <c r="BB14" s="4">
        <v>3000</v>
      </c>
      <c r="BC14" s="4">
        <v>0</v>
      </c>
      <c r="BF14" s="4" t="s">
        <v>16</v>
      </c>
      <c r="BG14" s="5">
        <v>40891</v>
      </c>
      <c r="BH14" s="4">
        <v>7</v>
      </c>
      <c r="BI14" s="6">
        <v>0.14000000000000001</v>
      </c>
      <c r="BJ14" s="4">
        <v>4000</v>
      </c>
      <c r="BK14" s="4">
        <v>514</v>
      </c>
      <c r="BN14" s="4" t="s">
        <v>16</v>
      </c>
      <c r="BO14" s="5">
        <v>40928</v>
      </c>
      <c r="BP14" s="4">
        <v>21</v>
      </c>
      <c r="BQ14" s="6">
        <v>0</v>
      </c>
      <c r="BR14" s="4">
        <v>1000</v>
      </c>
      <c r="BS14" s="4">
        <v>0</v>
      </c>
      <c r="BV14" s="4" t="s">
        <v>16</v>
      </c>
      <c r="BW14" s="5">
        <v>40898</v>
      </c>
      <c r="BX14" s="4">
        <v>7</v>
      </c>
      <c r="BY14" s="6">
        <v>0.28999999999999998</v>
      </c>
      <c r="BZ14" s="4">
        <v>3000</v>
      </c>
      <c r="CA14" s="4">
        <v>452</v>
      </c>
    </row>
    <row r="15" spans="1:79" x14ac:dyDescent="0.3">
      <c r="B15" s="4" t="s">
        <v>17</v>
      </c>
      <c r="C15" s="5">
        <v>40911</v>
      </c>
      <c r="D15" s="4">
        <v>7</v>
      </c>
      <c r="E15" s="6">
        <v>0.4</v>
      </c>
      <c r="F15" s="4">
        <v>3000</v>
      </c>
      <c r="G15" s="4">
        <v>51</v>
      </c>
      <c r="J15" s="4" t="s">
        <v>17</v>
      </c>
      <c r="K15" s="5">
        <v>40942</v>
      </c>
      <c r="L15" s="4">
        <v>7</v>
      </c>
      <c r="M15" s="6">
        <v>0.38</v>
      </c>
      <c r="N15" s="4">
        <v>1000</v>
      </c>
      <c r="O15" s="4">
        <v>274</v>
      </c>
      <c r="R15" s="4" t="s">
        <v>17</v>
      </c>
      <c r="S15" s="5">
        <v>40899</v>
      </c>
      <c r="T15" s="4">
        <v>14</v>
      </c>
      <c r="U15" s="6">
        <v>0</v>
      </c>
      <c r="V15" s="4">
        <v>5000</v>
      </c>
      <c r="W15" s="4">
        <v>0</v>
      </c>
      <c r="Z15" s="4" t="s">
        <v>17</v>
      </c>
      <c r="AA15" s="5">
        <v>40914</v>
      </c>
      <c r="AB15" s="4">
        <v>14</v>
      </c>
      <c r="AC15" s="6">
        <v>0.2</v>
      </c>
      <c r="AD15" s="4">
        <v>3000</v>
      </c>
      <c r="AE15" s="4">
        <v>222</v>
      </c>
      <c r="AH15" s="4" t="s">
        <v>17</v>
      </c>
      <c r="AI15" s="5">
        <v>40911</v>
      </c>
      <c r="AJ15" s="4">
        <v>21</v>
      </c>
      <c r="AK15" s="6">
        <v>0</v>
      </c>
      <c r="AL15" s="4">
        <v>5000</v>
      </c>
      <c r="AM15" s="4">
        <v>0</v>
      </c>
      <c r="AP15" s="4" t="s">
        <v>17</v>
      </c>
      <c r="AQ15" s="5">
        <v>40910</v>
      </c>
      <c r="AR15" s="4">
        <v>7</v>
      </c>
      <c r="AS15" s="6">
        <v>0</v>
      </c>
      <c r="AT15" s="4">
        <v>5000</v>
      </c>
      <c r="AU15" s="4">
        <v>0</v>
      </c>
      <c r="AX15" s="4" t="s">
        <v>17</v>
      </c>
      <c r="AY15" s="5">
        <v>40926</v>
      </c>
      <c r="AZ15" s="4">
        <v>7</v>
      </c>
      <c r="BA15" s="6">
        <v>0.68</v>
      </c>
      <c r="BB15" s="4">
        <v>4000</v>
      </c>
      <c r="BC15" s="4">
        <v>993</v>
      </c>
      <c r="BF15" s="4" t="s">
        <v>17</v>
      </c>
      <c r="BG15" s="5">
        <v>40904</v>
      </c>
      <c r="BH15" s="4">
        <v>14</v>
      </c>
      <c r="BI15" s="6">
        <v>0.36</v>
      </c>
      <c r="BJ15" s="4">
        <v>5000</v>
      </c>
      <c r="BK15" s="4">
        <v>1043</v>
      </c>
      <c r="BN15" s="4" t="s">
        <v>17</v>
      </c>
      <c r="BO15" s="5">
        <v>40945</v>
      </c>
      <c r="BP15" s="4">
        <v>14</v>
      </c>
      <c r="BQ15" s="6">
        <v>0.6</v>
      </c>
      <c r="BR15" s="4">
        <v>4000</v>
      </c>
      <c r="BS15" s="4">
        <v>85</v>
      </c>
      <c r="BV15" s="4" t="s">
        <v>17</v>
      </c>
      <c r="BW15" s="5">
        <v>40918</v>
      </c>
      <c r="BX15" s="4">
        <v>7</v>
      </c>
      <c r="BY15" s="6">
        <v>0</v>
      </c>
      <c r="BZ15" s="4">
        <v>2000</v>
      </c>
      <c r="CA15" s="4">
        <v>0</v>
      </c>
    </row>
    <row r="16" spans="1:79" x14ac:dyDescent="0.3">
      <c r="B16" s="4" t="s">
        <v>18</v>
      </c>
      <c r="C16" s="5">
        <v>40920</v>
      </c>
      <c r="D16" s="4">
        <v>14</v>
      </c>
      <c r="E16" s="6">
        <v>0.59</v>
      </c>
      <c r="F16" s="4">
        <v>5000</v>
      </c>
      <c r="G16" s="4">
        <v>1588</v>
      </c>
      <c r="J16" s="4" t="s">
        <v>18</v>
      </c>
      <c r="K16" s="5">
        <v>40953</v>
      </c>
      <c r="L16" s="4">
        <v>14</v>
      </c>
      <c r="M16" s="6">
        <v>0.27</v>
      </c>
      <c r="N16" s="4">
        <v>4000</v>
      </c>
      <c r="O16" s="4">
        <v>874</v>
      </c>
      <c r="R16" s="4" t="s">
        <v>18</v>
      </c>
      <c r="S16" s="5">
        <v>40918</v>
      </c>
      <c r="T16" s="4">
        <v>7</v>
      </c>
      <c r="U16" s="6">
        <v>0</v>
      </c>
      <c r="V16" s="4">
        <v>1000</v>
      </c>
      <c r="W16" s="4">
        <v>0</v>
      </c>
      <c r="Z16" s="4" t="s">
        <v>18</v>
      </c>
      <c r="AA16" s="5">
        <v>40933</v>
      </c>
      <c r="AB16" s="4">
        <v>21</v>
      </c>
      <c r="AC16" s="6">
        <v>0</v>
      </c>
      <c r="AD16" s="4">
        <v>1000</v>
      </c>
      <c r="AE16" s="4">
        <v>0</v>
      </c>
      <c r="AH16" s="4" t="s">
        <v>18</v>
      </c>
      <c r="AI16" s="5">
        <v>40920</v>
      </c>
      <c r="AJ16" s="4">
        <v>21</v>
      </c>
      <c r="AK16" s="6">
        <v>0.17</v>
      </c>
      <c r="AL16" s="4">
        <v>1000</v>
      </c>
      <c r="AM16" s="4">
        <v>22</v>
      </c>
      <c r="AP16" s="4" t="s">
        <v>18</v>
      </c>
      <c r="AQ16" s="5">
        <v>40921</v>
      </c>
      <c r="AR16" s="4">
        <v>14</v>
      </c>
      <c r="AS16" s="6">
        <v>0</v>
      </c>
      <c r="AT16" s="4">
        <v>2000</v>
      </c>
      <c r="AU16" s="4">
        <v>0</v>
      </c>
      <c r="AX16" s="4" t="s">
        <v>18</v>
      </c>
      <c r="AY16" s="5">
        <v>40942</v>
      </c>
      <c r="AZ16" s="4">
        <v>14</v>
      </c>
      <c r="BA16" s="6">
        <v>0</v>
      </c>
      <c r="BB16" s="4">
        <v>2000</v>
      </c>
      <c r="BC16" s="4">
        <v>0</v>
      </c>
      <c r="BF16" s="4" t="s">
        <v>18</v>
      </c>
      <c r="BG16" s="5">
        <v>40917</v>
      </c>
      <c r="BH16" s="4">
        <v>14</v>
      </c>
      <c r="BI16" s="6">
        <v>0</v>
      </c>
      <c r="BJ16" s="4">
        <v>2000</v>
      </c>
      <c r="BK16" s="4">
        <v>0</v>
      </c>
      <c r="BN16" s="4" t="s">
        <v>18</v>
      </c>
      <c r="BO16" s="5">
        <v>40961</v>
      </c>
      <c r="BP16" s="4">
        <v>7</v>
      </c>
      <c r="BQ16" s="6">
        <v>0.41</v>
      </c>
      <c r="BR16" s="4">
        <v>2000</v>
      </c>
      <c r="BS16" s="4">
        <v>668</v>
      </c>
      <c r="BV16" s="4" t="s">
        <v>18</v>
      </c>
      <c r="BW16" s="5">
        <v>40932</v>
      </c>
      <c r="BX16" s="4">
        <v>7</v>
      </c>
      <c r="BY16" s="6">
        <v>0.28999999999999998</v>
      </c>
      <c r="BZ16" s="4">
        <v>5000</v>
      </c>
      <c r="CA16" s="4">
        <v>380</v>
      </c>
    </row>
    <row r="17" spans="2:79" x14ac:dyDescent="0.3">
      <c r="B17" s="4" t="s">
        <v>19</v>
      </c>
      <c r="C17" s="5">
        <v>40938</v>
      </c>
      <c r="D17" s="4">
        <v>7</v>
      </c>
      <c r="E17" s="6">
        <v>0</v>
      </c>
      <c r="F17" s="4">
        <v>1000</v>
      </c>
      <c r="G17" s="4">
        <v>0</v>
      </c>
      <c r="J17" s="4" t="s">
        <v>19</v>
      </c>
      <c r="K17" s="5">
        <v>40969</v>
      </c>
      <c r="L17" s="4">
        <v>14</v>
      </c>
      <c r="M17" s="6">
        <v>0</v>
      </c>
      <c r="N17" s="4">
        <v>4000</v>
      </c>
      <c r="O17" s="4">
        <v>0</v>
      </c>
      <c r="R17" s="4" t="s">
        <v>19</v>
      </c>
      <c r="S17" s="5">
        <v>40927</v>
      </c>
      <c r="T17" s="4">
        <v>21</v>
      </c>
      <c r="U17" s="6">
        <v>0</v>
      </c>
      <c r="V17" s="4">
        <v>4000</v>
      </c>
      <c r="W17" s="4">
        <v>0</v>
      </c>
      <c r="Z17" s="4" t="s">
        <v>19</v>
      </c>
      <c r="AA17" s="5">
        <v>40952</v>
      </c>
      <c r="AB17" s="4">
        <v>21</v>
      </c>
      <c r="AC17" s="6">
        <v>0.59</v>
      </c>
      <c r="AD17" s="4">
        <v>1000</v>
      </c>
      <c r="AE17" s="4">
        <v>184</v>
      </c>
      <c r="AH17" s="4" t="s">
        <v>19</v>
      </c>
      <c r="AI17" s="5">
        <v>40932</v>
      </c>
      <c r="AJ17" s="4">
        <v>7</v>
      </c>
      <c r="AK17" s="6">
        <v>0.09</v>
      </c>
      <c r="AL17" s="4">
        <v>1000</v>
      </c>
      <c r="AM17" s="4">
        <v>46</v>
      </c>
      <c r="AP17" s="4" t="s">
        <v>19</v>
      </c>
      <c r="AQ17" s="5">
        <v>40934</v>
      </c>
      <c r="AR17" s="4">
        <v>21</v>
      </c>
      <c r="AS17" s="6">
        <v>0.12</v>
      </c>
      <c r="AT17" s="4">
        <v>2000</v>
      </c>
      <c r="AU17" s="4">
        <v>67</v>
      </c>
      <c r="AX17" s="4" t="s">
        <v>19</v>
      </c>
      <c r="AY17" s="5">
        <v>40959</v>
      </c>
      <c r="AZ17" s="4">
        <v>7</v>
      </c>
      <c r="BA17" s="6">
        <v>0.55000000000000004</v>
      </c>
      <c r="BB17" s="4">
        <v>1000</v>
      </c>
      <c r="BC17" s="4">
        <v>605</v>
      </c>
      <c r="BF17" s="4" t="s">
        <v>19</v>
      </c>
      <c r="BG17" s="5">
        <v>40928</v>
      </c>
      <c r="BH17" s="4">
        <v>14</v>
      </c>
      <c r="BI17" s="6">
        <v>0.34</v>
      </c>
      <c r="BJ17" s="4">
        <v>3000</v>
      </c>
      <c r="BK17" s="4">
        <v>61</v>
      </c>
      <c r="BN17" s="4" t="s">
        <v>19</v>
      </c>
      <c r="BO17" s="5">
        <v>40974</v>
      </c>
      <c r="BP17" s="4">
        <v>14</v>
      </c>
      <c r="BQ17" s="6">
        <v>0</v>
      </c>
      <c r="BR17" s="4">
        <v>4000</v>
      </c>
      <c r="BS17" s="4">
        <v>0</v>
      </c>
      <c r="BV17" s="4" t="s">
        <v>19</v>
      </c>
      <c r="BW17" s="5">
        <v>40949</v>
      </c>
      <c r="BX17" s="4">
        <v>7</v>
      </c>
      <c r="BY17" s="6">
        <v>0.24</v>
      </c>
      <c r="BZ17" s="4">
        <v>2000</v>
      </c>
      <c r="CA17" s="4">
        <v>307</v>
      </c>
    </row>
    <row r="18" spans="2:79" x14ac:dyDescent="0.3">
      <c r="B18" s="4" t="s">
        <v>20</v>
      </c>
      <c r="C18" s="5">
        <v>40952</v>
      </c>
      <c r="D18" s="4">
        <v>21</v>
      </c>
      <c r="E18" s="6">
        <v>0.47</v>
      </c>
      <c r="F18" s="4">
        <v>2000</v>
      </c>
      <c r="G18" s="4">
        <v>363</v>
      </c>
      <c r="J18" s="4" t="s">
        <v>20</v>
      </c>
      <c r="K18" s="5">
        <v>40984</v>
      </c>
      <c r="L18" s="4">
        <v>14</v>
      </c>
      <c r="M18" s="6">
        <v>0</v>
      </c>
      <c r="N18" s="4">
        <v>5000</v>
      </c>
      <c r="O18" s="4">
        <v>0</v>
      </c>
      <c r="R18" s="4" t="s">
        <v>20</v>
      </c>
      <c r="S18" s="5">
        <v>40942</v>
      </c>
      <c r="T18" s="4">
        <v>7</v>
      </c>
      <c r="U18" s="6">
        <v>0.19</v>
      </c>
      <c r="V18" s="4">
        <v>3000</v>
      </c>
      <c r="W18" s="4">
        <v>489</v>
      </c>
      <c r="Z18" s="4" t="s">
        <v>20</v>
      </c>
      <c r="AA18" s="5">
        <v>40962</v>
      </c>
      <c r="AB18" s="4">
        <v>21</v>
      </c>
      <c r="AC18" s="6">
        <v>0.41</v>
      </c>
      <c r="AD18" s="4">
        <v>1000</v>
      </c>
      <c r="AE18" s="4">
        <v>405</v>
      </c>
      <c r="AH18" s="4" t="s">
        <v>20</v>
      </c>
      <c r="AI18" s="5">
        <v>40946</v>
      </c>
      <c r="AJ18" s="4">
        <v>7</v>
      </c>
      <c r="AK18" s="6">
        <v>0</v>
      </c>
      <c r="AL18" s="4">
        <v>5000</v>
      </c>
      <c r="AM18" s="4">
        <v>0</v>
      </c>
      <c r="AP18" s="4" t="s">
        <v>20</v>
      </c>
      <c r="AQ18" s="5">
        <v>40945</v>
      </c>
      <c r="AR18" s="4">
        <v>7</v>
      </c>
      <c r="AS18" s="6">
        <v>0.44</v>
      </c>
      <c r="AT18" s="4">
        <v>5000</v>
      </c>
      <c r="AU18" s="4">
        <v>856</v>
      </c>
      <c r="AX18" s="4" t="s">
        <v>20</v>
      </c>
      <c r="AY18" s="5">
        <v>40968</v>
      </c>
      <c r="AZ18" s="4">
        <v>14</v>
      </c>
      <c r="BA18" s="6">
        <v>0.67</v>
      </c>
      <c r="BB18" s="4">
        <v>2000</v>
      </c>
      <c r="BC18" s="4">
        <v>747</v>
      </c>
      <c r="BF18" s="4" t="s">
        <v>20</v>
      </c>
      <c r="BG18" s="5">
        <v>40947</v>
      </c>
      <c r="BH18" s="4">
        <v>7</v>
      </c>
      <c r="BI18" s="6">
        <v>0</v>
      </c>
      <c r="BJ18" s="4">
        <v>3000</v>
      </c>
      <c r="BK18" s="4">
        <v>0</v>
      </c>
      <c r="BN18" s="4" t="s">
        <v>20</v>
      </c>
      <c r="BO18" s="5">
        <v>40984</v>
      </c>
      <c r="BP18" s="4">
        <v>14</v>
      </c>
      <c r="BQ18" s="6">
        <v>0.27</v>
      </c>
      <c r="BR18" s="4">
        <v>4000</v>
      </c>
      <c r="BS18" s="4">
        <v>697</v>
      </c>
      <c r="BV18" s="4" t="s">
        <v>20</v>
      </c>
      <c r="BW18" s="5">
        <v>40963</v>
      </c>
      <c r="BX18" s="4">
        <v>7</v>
      </c>
      <c r="BY18" s="6">
        <v>0</v>
      </c>
      <c r="BZ18" s="4">
        <v>1000</v>
      </c>
      <c r="CA18" s="4">
        <v>0</v>
      </c>
    </row>
    <row r="19" spans="2:79" x14ac:dyDescent="0.3">
      <c r="B19" s="4" t="s">
        <v>21</v>
      </c>
      <c r="C19" s="5">
        <v>40968</v>
      </c>
      <c r="D19" s="4">
        <v>14</v>
      </c>
      <c r="E19" s="6">
        <v>0</v>
      </c>
      <c r="F19" s="4">
        <v>1000</v>
      </c>
      <c r="G19" s="4">
        <v>0</v>
      </c>
      <c r="J19" s="4" t="s">
        <v>21</v>
      </c>
      <c r="K19" s="5">
        <v>40995</v>
      </c>
      <c r="L19" s="4">
        <v>21</v>
      </c>
      <c r="M19" s="6">
        <v>0.61</v>
      </c>
      <c r="N19" s="4">
        <v>3000</v>
      </c>
      <c r="O19" s="4">
        <v>143</v>
      </c>
      <c r="R19" s="4" t="s">
        <v>21</v>
      </c>
      <c r="S19" s="5">
        <v>40955</v>
      </c>
      <c r="T19" s="4">
        <v>14</v>
      </c>
      <c r="U19" s="6">
        <v>0</v>
      </c>
      <c r="V19" s="4">
        <v>3000</v>
      </c>
      <c r="W19" s="4">
        <v>0</v>
      </c>
      <c r="Z19" s="4" t="s">
        <v>21</v>
      </c>
      <c r="AA19" s="5">
        <v>40980</v>
      </c>
      <c r="AB19" s="4">
        <v>7</v>
      </c>
      <c r="AC19" s="6">
        <v>0.49</v>
      </c>
      <c r="AD19" s="4">
        <v>3000</v>
      </c>
      <c r="AE19" s="4">
        <v>552</v>
      </c>
      <c r="AH19" s="4" t="s">
        <v>21</v>
      </c>
      <c r="AI19" s="5">
        <v>40960</v>
      </c>
      <c r="AJ19" s="4">
        <v>21</v>
      </c>
      <c r="AK19" s="6">
        <v>0.16</v>
      </c>
      <c r="AL19" s="4">
        <v>3000</v>
      </c>
      <c r="AM19" s="4">
        <v>406</v>
      </c>
      <c r="AP19" s="4" t="s">
        <v>21</v>
      </c>
      <c r="AQ19" s="5">
        <v>40962</v>
      </c>
      <c r="AR19" s="4">
        <v>21</v>
      </c>
      <c r="AS19" s="6">
        <v>0</v>
      </c>
      <c r="AT19" s="4">
        <v>2000</v>
      </c>
      <c r="AU19" s="4">
        <v>0</v>
      </c>
      <c r="AX19" s="4" t="s">
        <v>21</v>
      </c>
      <c r="AY19" s="5">
        <v>40981</v>
      </c>
      <c r="AZ19" s="4">
        <v>14</v>
      </c>
      <c r="BA19" s="6">
        <v>0</v>
      </c>
      <c r="BB19" s="4">
        <v>5000</v>
      </c>
      <c r="BC19" s="4">
        <v>0</v>
      </c>
      <c r="BF19" s="4" t="s">
        <v>21</v>
      </c>
      <c r="BG19" s="5">
        <v>40966</v>
      </c>
      <c r="BH19" s="4">
        <v>21</v>
      </c>
      <c r="BI19" s="6">
        <v>0.36</v>
      </c>
      <c r="BJ19" s="4">
        <v>5000</v>
      </c>
      <c r="BK19" s="4">
        <v>898</v>
      </c>
      <c r="BN19" s="4" t="s">
        <v>21</v>
      </c>
      <c r="BO19" s="5">
        <v>41002</v>
      </c>
      <c r="BP19" s="4">
        <v>14</v>
      </c>
      <c r="BQ19" s="6">
        <v>0</v>
      </c>
      <c r="BR19" s="4">
        <v>3000</v>
      </c>
      <c r="BS19" s="4">
        <v>0</v>
      </c>
      <c r="BV19" s="4" t="s">
        <v>21</v>
      </c>
      <c r="BW19" s="5">
        <v>40983</v>
      </c>
      <c r="BX19" s="4">
        <v>7</v>
      </c>
      <c r="BY19" s="6">
        <v>0</v>
      </c>
      <c r="BZ19" s="4">
        <v>5000</v>
      </c>
      <c r="CA19" s="4">
        <v>0</v>
      </c>
    </row>
    <row r="20" spans="2:79" x14ac:dyDescent="0.3">
      <c r="B20" s="4" t="s">
        <v>22</v>
      </c>
      <c r="C20" s="5">
        <v>40983</v>
      </c>
      <c r="D20" s="4">
        <v>7</v>
      </c>
      <c r="E20" s="6">
        <v>0</v>
      </c>
      <c r="F20" s="4">
        <v>2000</v>
      </c>
      <c r="G20" s="4">
        <v>0</v>
      </c>
      <c r="J20" s="4" t="s">
        <v>22</v>
      </c>
      <c r="K20" s="5">
        <v>41008</v>
      </c>
      <c r="L20" s="4">
        <v>7</v>
      </c>
      <c r="M20" s="6">
        <v>0.31</v>
      </c>
      <c r="N20" s="4">
        <v>3000</v>
      </c>
      <c r="O20" s="4">
        <v>129</v>
      </c>
      <c r="R20" s="4" t="s">
        <v>22</v>
      </c>
      <c r="S20" s="5">
        <v>40969</v>
      </c>
      <c r="T20" s="4">
        <v>21</v>
      </c>
      <c r="U20" s="6">
        <v>0</v>
      </c>
      <c r="V20" s="4">
        <v>3000</v>
      </c>
      <c r="W20" s="4">
        <v>0</v>
      </c>
      <c r="Z20" s="4" t="s">
        <v>22</v>
      </c>
      <c r="AA20" s="5">
        <v>40989</v>
      </c>
      <c r="AB20" s="4">
        <v>14</v>
      </c>
      <c r="AC20" s="6">
        <v>0.41</v>
      </c>
      <c r="AD20" s="4">
        <v>3000</v>
      </c>
      <c r="AE20" s="4">
        <v>898</v>
      </c>
      <c r="AH20" s="4" t="s">
        <v>22</v>
      </c>
      <c r="AI20" s="5">
        <v>40975</v>
      </c>
      <c r="AJ20" s="4">
        <v>7</v>
      </c>
      <c r="AK20" s="6">
        <v>0.28000000000000003</v>
      </c>
      <c r="AL20" s="4">
        <v>4000</v>
      </c>
      <c r="AM20" s="4">
        <v>398</v>
      </c>
      <c r="AP20" s="4" t="s">
        <v>22</v>
      </c>
      <c r="AQ20" s="5">
        <v>40981</v>
      </c>
      <c r="AR20" s="4">
        <v>14</v>
      </c>
      <c r="AS20" s="6">
        <v>0.09</v>
      </c>
      <c r="AT20" s="4">
        <v>5000</v>
      </c>
      <c r="AU20" s="4">
        <v>120</v>
      </c>
      <c r="AX20" s="4" t="s">
        <v>22</v>
      </c>
      <c r="AY20" s="5">
        <v>40995</v>
      </c>
      <c r="AZ20" s="4">
        <v>21</v>
      </c>
      <c r="BA20" s="6">
        <v>0</v>
      </c>
      <c r="BB20" s="4">
        <v>2000</v>
      </c>
      <c r="BC20" s="4">
        <v>0</v>
      </c>
      <c r="BF20" s="4" t="s">
        <v>22</v>
      </c>
      <c r="BG20" s="5">
        <v>40977</v>
      </c>
      <c r="BH20" s="4">
        <v>14</v>
      </c>
      <c r="BI20" s="6">
        <v>0</v>
      </c>
      <c r="BJ20" s="4">
        <v>2000</v>
      </c>
      <c r="BK20" s="4">
        <v>0</v>
      </c>
      <c r="BN20" s="4" t="s">
        <v>22</v>
      </c>
      <c r="BO20" s="5">
        <v>41016</v>
      </c>
      <c r="BP20" s="4">
        <v>14</v>
      </c>
      <c r="BQ20" s="6">
        <v>0.44</v>
      </c>
      <c r="BR20" s="4">
        <v>1000</v>
      </c>
      <c r="BS20" s="4">
        <v>290</v>
      </c>
      <c r="BV20" s="4" t="s">
        <v>22</v>
      </c>
      <c r="BW20" s="5">
        <v>40995</v>
      </c>
      <c r="BX20" s="4">
        <v>21</v>
      </c>
      <c r="BY20" s="6">
        <v>0.41</v>
      </c>
      <c r="BZ20" s="4">
        <v>2000</v>
      </c>
      <c r="CA20" s="4">
        <v>114</v>
      </c>
    </row>
    <row r="21" spans="2:79" x14ac:dyDescent="0.3">
      <c r="B21" s="4" t="s">
        <v>23</v>
      </c>
      <c r="C21" s="5">
        <v>41001</v>
      </c>
      <c r="D21" s="4">
        <v>7</v>
      </c>
      <c r="E21" s="6">
        <v>0</v>
      </c>
      <c r="F21" s="4">
        <v>1000</v>
      </c>
      <c r="G21" s="4">
        <v>0</v>
      </c>
      <c r="J21" s="4" t="s">
        <v>23</v>
      </c>
      <c r="K21" s="5">
        <v>41018</v>
      </c>
      <c r="L21" s="4">
        <v>21</v>
      </c>
      <c r="M21" s="6">
        <v>0</v>
      </c>
      <c r="N21" s="4">
        <v>1000</v>
      </c>
      <c r="O21" s="4">
        <v>0</v>
      </c>
      <c r="R21" s="4" t="s">
        <v>23</v>
      </c>
      <c r="S21" s="5">
        <v>40988</v>
      </c>
      <c r="T21" s="4">
        <v>21</v>
      </c>
      <c r="U21" s="6">
        <v>0.42</v>
      </c>
      <c r="V21" s="4">
        <v>3000</v>
      </c>
      <c r="W21" s="4">
        <v>412</v>
      </c>
      <c r="Z21" s="4" t="s">
        <v>23</v>
      </c>
      <c r="AA21" s="5">
        <v>41002</v>
      </c>
      <c r="AB21" s="4">
        <v>14</v>
      </c>
      <c r="AC21" s="6">
        <v>0.62</v>
      </c>
      <c r="AD21" s="4">
        <v>1000</v>
      </c>
      <c r="AE21" s="4">
        <v>467</v>
      </c>
      <c r="AH21" s="4" t="s">
        <v>23</v>
      </c>
      <c r="AI21" s="5">
        <v>40989</v>
      </c>
      <c r="AJ21" s="4">
        <v>14</v>
      </c>
      <c r="AK21" s="6">
        <v>0.12</v>
      </c>
      <c r="AL21" s="4">
        <v>2000</v>
      </c>
      <c r="AM21" s="4">
        <v>85</v>
      </c>
      <c r="AP21" s="4" t="s">
        <v>23</v>
      </c>
      <c r="AQ21" s="5">
        <v>40994</v>
      </c>
      <c r="AR21" s="4">
        <v>7</v>
      </c>
      <c r="AS21" s="6">
        <v>0</v>
      </c>
      <c r="AT21" s="4">
        <v>1000</v>
      </c>
      <c r="AU21" s="4">
        <v>0</v>
      </c>
      <c r="AX21" s="4" t="s">
        <v>23</v>
      </c>
      <c r="AY21" s="5">
        <v>41012</v>
      </c>
      <c r="AZ21" s="4">
        <v>7</v>
      </c>
      <c r="BA21" s="6">
        <v>0.7</v>
      </c>
      <c r="BB21" s="4">
        <v>1000</v>
      </c>
      <c r="BC21" s="4">
        <v>403</v>
      </c>
      <c r="BF21" s="4" t="s">
        <v>23</v>
      </c>
      <c r="BG21" s="5">
        <v>40988</v>
      </c>
      <c r="BH21" s="4">
        <v>21</v>
      </c>
      <c r="BI21" s="6">
        <v>0</v>
      </c>
      <c r="BJ21" s="4">
        <v>5000</v>
      </c>
      <c r="BK21" s="4">
        <v>0</v>
      </c>
      <c r="BN21" s="4" t="s">
        <v>23</v>
      </c>
      <c r="BO21" s="5">
        <v>41029</v>
      </c>
      <c r="BP21" s="4">
        <v>7</v>
      </c>
      <c r="BQ21" s="6">
        <v>0.02</v>
      </c>
      <c r="BR21" s="4">
        <v>3000</v>
      </c>
      <c r="BS21" s="4">
        <v>17</v>
      </c>
      <c r="BV21" s="4" t="s">
        <v>23</v>
      </c>
      <c r="BW21" s="5">
        <v>41008</v>
      </c>
      <c r="BX21" s="4">
        <v>21</v>
      </c>
      <c r="BY21" s="6">
        <v>0.66</v>
      </c>
      <c r="BZ21" s="4">
        <v>5000</v>
      </c>
      <c r="CA21" s="4">
        <v>1281</v>
      </c>
    </row>
    <row r="22" spans="2:79" x14ac:dyDescent="0.3">
      <c r="B22" s="4" t="s">
        <v>24</v>
      </c>
      <c r="C22" s="5">
        <v>41011</v>
      </c>
      <c r="D22" s="4">
        <v>14</v>
      </c>
      <c r="E22" s="6">
        <v>0.16</v>
      </c>
      <c r="F22" s="4">
        <v>2000</v>
      </c>
      <c r="G22" s="4">
        <v>49</v>
      </c>
      <c r="J22" s="4" t="s">
        <v>24</v>
      </c>
      <c r="K22" s="5">
        <v>41032</v>
      </c>
      <c r="L22" s="4">
        <v>7</v>
      </c>
      <c r="M22" s="6">
        <v>0.64</v>
      </c>
      <c r="N22" s="4">
        <v>1000</v>
      </c>
      <c r="O22" s="4">
        <v>306</v>
      </c>
      <c r="R22" s="4" t="s">
        <v>24</v>
      </c>
      <c r="S22" s="5">
        <v>41008</v>
      </c>
      <c r="T22" s="4">
        <v>7</v>
      </c>
      <c r="U22" s="6">
        <v>0</v>
      </c>
      <c r="V22" s="4">
        <v>5000</v>
      </c>
      <c r="W22" s="4">
        <v>0</v>
      </c>
      <c r="Z22" s="4" t="s">
        <v>24</v>
      </c>
      <c r="AA22" s="5">
        <v>41019</v>
      </c>
      <c r="AB22" s="4">
        <v>21</v>
      </c>
      <c r="AC22" s="6">
        <v>0.15</v>
      </c>
      <c r="AD22" s="4">
        <v>4000</v>
      </c>
      <c r="AE22" s="4">
        <v>188</v>
      </c>
      <c r="AH22" s="4" t="s">
        <v>24</v>
      </c>
      <c r="AI22" s="5">
        <v>41009</v>
      </c>
      <c r="AJ22" s="4">
        <v>14</v>
      </c>
      <c r="AK22" s="6">
        <v>0.19</v>
      </c>
      <c r="AL22" s="4">
        <v>1000</v>
      </c>
      <c r="AM22" s="4">
        <v>30</v>
      </c>
      <c r="AP22" s="4" t="s">
        <v>24</v>
      </c>
      <c r="AQ22" s="5">
        <v>41012</v>
      </c>
      <c r="AR22" s="4">
        <v>21</v>
      </c>
      <c r="AS22" s="6">
        <v>0.45</v>
      </c>
      <c r="AT22" s="4">
        <v>4000</v>
      </c>
      <c r="AU22" s="4">
        <v>1705</v>
      </c>
      <c r="AX22" s="4" t="s">
        <v>24</v>
      </c>
      <c r="AY22" s="5">
        <v>41029</v>
      </c>
      <c r="AZ22" s="4">
        <v>7</v>
      </c>
      <c r="BA22" s="6">
        <v>0</v>
      </c>
      <c r="BB22" s="4">
        <v>1000</v>
      </c>
      <c r="BC22" s="4">
        <v>0</v>
      </c>
      <c r="BF22" s="4" t="s">
        <v>24</v>
      </c>
      <c r="BG22" s="5">
        <v>40998</v>
      </c>
      <c r="BH22" s="4">
        <v>7</v>
      </c>
      <c r="BI22" s="6">
        <v>0.69</v>
      </c>
      <c r="BJ22" s="4">
        <v>5000</v>
      </c>
      <c r="BK22" s="4">
        <v>1067</v>
      </c>
      <c r="BN22" s="4" t="s">
        <v>24</v>
      </c>
      <c r="BO22" s="5">
        <v>41047</v>
      </c>
      <c r="BP22" s="4">
        <v>7</v>
      </c>
      <c r="BQ22" s="6">
        <v>0.14000000000000001</v>
      </c>
      <c r="BR22" s="4">
        <v>4000</v>
      </c>
      <c r="BS22" s="4">
        <v>527</v>
      </c>
      <c r="BV22" s="4" t="s">
        <v>24</v>
      </c>
      <c r="BW22" s="5">
        <v>41023</v>
      </c>
      <c r="BX22" s="4">
        <v>7</v>
      </c>
      <c r="BY22" s="6">
        <v>0</v>
      </c>
      <c r="BZ22" s="4">
        <v>4000</v>
      </c>
      <c r="CA22" s="4">
        <v>0</v>
      </c>
    </row>
    <row r="23" spans="2:79" x14ac:dyDescent="0.3">
      <c r="B23" s="4" t="s">
        <v>25</v>
      </c>
      <c r="C23" s="5">
        <v>41025</v>
      </c>
      <c r="D23" s="4">
        <v>14</v>
      </c>
      <c r="E23" s="6">
        <v>0.47</v>
      </c>
      <c r="F23" s="4">
        <v>4000</v>
      </c>
      <c r="G23" s="4">
        <v>896</v>
      </c>
      <c r="J23" s="4" t="s">
        <v>25</v>
      </c>
      <c r="K23" s="5">
        <v>41045</v>
      </c>
      <c r="L23" s="4">
        <v>21</v>
      </c>
      <c r="M23" s="6">
        <v>0.7</v>
      </c>
      <c r="N23" s="4">
        <v>2000</v>
      </c>
      <c r="O23" s="4">
        <v>1013</v>
      </c>
      <c r="R23" s="4" t="s">
        <v>25</v>
      </c>
      <c r="S23" s="5">
        <v>41022</v>
      </c>
      <c r="T23" s="4">
        <v>7</v>
      </c>
      <c r="U23" s="6">
        <v>0.17</v>
      </c>
      <c r="V23" s="4">
        <v>2000</v>
      </c>
      <c r="W23" s="4">
        <v>123</v>
      </c>
      <c r="Z23" s="4" t="s">
        <v>25</v>
      </c>
      <c r="AA23" s="5">
        <v>41036</v>
      </c>
      <c r="AB23" s="4">
        <v>21</v>
      </c>
      <c r="AC23" s="6">
        <v>0</v>
      </c>
      <c r="AD23" s="4">
        <v>1000</v>
      </c>
      <c r="AE23" s="4">
        <v>0</v>
      </c>
      <c r="AH23" s="4" t="s">
        <v>25</v>
      </c>
      <c r="AI23" s="5">
        <v>41026</v>
      </c>
      <c r="AJ23" s="4">
        <v>14</v>
      </c>
      <c r="AK23" s="6">
        <v>0.56999999999999995</v>
      </c>
      <c r="AL23" s="4">
        <v>2000</v>
      </c>
      <c r="AM23" s="4">
        <v>604</v>
      </c>
      <c r="AP23" s="4" t="s">
        <v>25</v>
      </c>
      <c r="AQ23" s="5">
        <v>41032</v>
      </c>
      <c r="AR23" s="4">
        <v>21</v>
      </c>
      <c r="AS23" s="6">
        <v>0.11</v>
      </c>
      <c r="AT23" s="4">
        <v>4000</v>
      </c>
      <c r="AU23" s="4">
        <v>98</v>
      </c>
      <c r="AX23" s="4" t="s">
        <v>25</v>
      </c>
      <c r="AY23" s="5">
        <v>41040</v>
      </c>
      <c r="AZ23" s="4">
        <v>14</v>
      </c>
      <c r="BA23" s="6">
        <v>0.04</v>
      </c>
      <c r="BB23" s="4">
        <v>3000</v>
      </c>
      <c r="BC23" s="4">
        <v>129</v>
      </c>
      <c r="BF23" s="4" t="s">
        <v>25</v>
      </c>
      <c r="BG23" s="5">
        <v>41017</v>
      </c>
      <c r="BH23" s="4">
        <v>21</v>
      </c>
      <c r="BI23" s="6">
        <v>0.06</v>
      </c>
      <c r="BJ23" s="4">
        <v>1000</v>
      </c>
      <c r="BK23" s="4">
        <v>43</v>
      </c>
      <c r="BN23" s="4" t="s">
        <v>25</v>
      </c>
      <c r="BO23" s="5">
        <v>41060</v>
      </c>
      <c r="BP23" s="4">
        <v>14</v>
      </c>
      <c r="BQ23" s="6">
        <v>0</v>
      </c>
      <c r="BR23" s="4">
        <v>4000</v>
      </c>
      <c r="BS23" s="4">
        <v>0</v>
      </c>
      <c r="BV23" s="4" t="s">
        <v>25</v>
      </c>
      <c r="BW23" s="5">
        <v>41038</v>
      </c>
      <c r="BX23" s="4">
        <v>14</v>
      </c>
      <c r="BY23" s="6">
        <v>0.45</v>
      </c>
      <c r="BZ23" s="4">
        <v>1000</v>
      </c>
      <c r="CA23" s="4">
        <v>45</v>
      </c>
    </row>
    <row r="24" spans="2:79" x14ac:dyDescent="0.3">
      <c r="B24" s="4" t="s">
        <v>26</v>
      </c>
      <c r="C24" s="5">
        <v>41038</v>
      </c>
      <c r="D24" s="4">
        <v>14</v>
      </c>
      <c r="E24" s="6">
        <v>0.04</v>
      </c>
      <c r="F24" s="4">
        <v>2000</v>
      </c>
      <c r="G24" s="4">
        <v>54</v>
      </c>
      <c r="J24" s="4" t="s">
        <v>26</v>
      </c>
      <c r="K24" s="5">
        <v>41058</v>
      </c>
      <c r="L24" s="4">
        <v>7</v>
      </c>
      <c r="M24" s="6">
        <v>0</v>
      </c>
      <c r="N24" s="4">
        <v>4000</v>
      </c>
      <c r="O24" s="4">
        <v>0</v>
      </c>
      <c r="R24" s="4" t="s">
        <v>26</v>
      </c>
      <c r="S24" s="5">
        <v>41033</v>
      </c>
      <c r="T24" s="4">
        <v>7</v>
      </c>
      <c r="U24" s="6">
        <v>0</v>
      </c>
      <c r="V24" s="4">
        <v>1000</v>
      </c>
      <c r="W24" s="4">
        <v>0</v>
      </c>
      <c r="Z24" s="4" t="s">
        <v>26</v>
      </c>
      <c r="AA24" s="5">
        <v>41051</v>
      </c>
      <c r="AB24" s="4">
        <v>7</v>
      </c>
      <c r="AC24" s="6">
        <v>0.2</v>
      </c>
      <c r="AD24" s="4">
        <v>5000</v>
      </c>
      <c r="AE24" s="4">
        <v>541</v>
      </c>
      <c r="AH24" s="4" t="s">
        <v>26</v>
      </c>
      <c r="AI24" s="5">
        <v>41038</v>
      </c>
      <c r="AJ24" s="4">
        <v>14</v>
      </c>
      <c r="AK24" s="6">
        <v>0</v>
      </c>
      <c r="AL24" s="4">
        <v>2000</v>
      </c>
      <c r="AM24" s="4">
        <v>0</v>
      </c>
      <c r="AP24" s="4" t="s">
        <v>26</v>
      </c>
      <c r="AQ24" s="5">
        <v>41051</v>
      </c>
      <c r="AR24" s="4">
        <v>14</v>
      </c>
      <c r="AS24" s="6">
        <v>0</v>
      </c>
      <c r="AT24" s="4">
        <v>3000</v>
      </c>
      <c r="AU24" s="4">
        <v>0</v>
      </c>
      <c r="AX24" s="4" t="s">
        <v>26</v>
      </c>
      <c r="AY24" s="5">
        <v>41052</v>
      </c>
      <c r="AZ24" s="4">
        <v>7</v>
      </c>
      <c r="BA24" s="6">
        <v>0.3</v>
      </c>
      <c r="BB24" s="4">
        <v>2000</v>
      </c>
      <c r="BC24" s="4">
        <v>561</v>
      </c>
      <c r="BF24" s="4" t="s">
        <v>26</v>
      </c>
      <c r="BG24" s="5">
        <v>41036</v>
      </c>
      <c r="BH24" s="4">
        <v>14</v>
      </c>
      <c r="BI24" s="6">
        <v>0</v>
      </c>
      <c r="BJ24" s="4">
        <v>2000</v>
      </c>
      <c r="BK24" s="4">
        <v>0</v>
      </c>
      <c r="BN24" s="4" t="s">
        <v>26</v>
      </c>
      <c r="BO24" s="5">
        <v>41073</v>
      </c>
      <c r="BP24" s="4">
        <v>14</v>
      </c>
      <c r="BQ24" s="6">
        <v>0</v>
      </c>
      <c r="BR24" s="4">
        <v>1000</v>
      </c>
      <c r="BS24" s="4">
        <v>0</v>
      </c>
      <c r="BV24" s="4" t="s">
        <v>26</v>
      </c>
      <c r="BW24" s="5">
        <v>41054</v>
      </c>
      <c r="BX24" s="4">
        <v>7</v>
      </c>
      <c r="BY24" s="6">
        <v>0.04</v>
      </c>
      <c r="BZ24" s="4">
        <v>1000</v>
      </c>
      <c r="CA24" s="4">
        <v>14</v>
      </c>
    </row>
    <row r="25" spans="2:79" x14ac:dyDescent="0.3">
      <c r="B25" s="4" t="s">
        <v>27</v>
      </c>
      <c r="C25" s="5">
        <v>41058</v>
      </c>
      <c r="D25" s="4">
        <v>21</v>
      </c>
      <c r="E25" s="6">
        <v>0.1</v>
      </c>
      <c r="F25" s="4">
        <v>3000</v>
      </c>
      <c r="G25" s="4">
        <v>155</v>
      </c>
      <c r="J25" s="4" t="s">
        <v>27</v>
      </c>
      <c r="K25" s="5">
        <v>41078</v>
      </c>
      <c r="L25" s="4">
        <v>7</v>
      </c>
      <c r="M25" s="6">
        <v>0.61</v>
      </c>
      <c r="N25" s="4">
        <v>1000</v>
      </c>
      <c r="O25" s="4">
        <v>637</v>
      </c>
      <c r="R25" s="4" t="s">
        <v>27</v>
      </c>
      <c r="S25" s="5">
        <v>41044</v>
      </c>
      <c r="T25" s="4">
        <v>21</v>
      </c>
      <c r="U25" s="6">
        <v>0.51</v>
      </c>
      <c r="V25" s="4">
        <v>2000</v>
      </c>
      <c r="W25" s="4">
        <v>40</v>
      </c>
      <c r="Z25" s="4" t="s">
        <v>27</v>
      </c>
      <c r="AA25" s="5">
        <v>41071</v>
      </c>
      <c r="AB25" s="4">
        <v>21</v>
      </c>
      <c r="AC25" s="6">
        <v>0</v>
      </c>
      <c r="AD25" s="4">
        <v>5000</v>
      </c>
      <c r="AE25" s="4">
        <v>0</v>
      </c>
      <c r="AH25" s="4" t="s">
        <v>27</v>
      </c>
      <c r="AI25" s="5">
        <v>41047</v>
      </c>
      <c r="AJ25" s="4">
        <v>21</v>
      </c>
      <c r="AK25" s="6">
        <v>0</v>
      </c>
      <c r="AL25" s="4">
        <v>2000</v>
      </c>
      <c r="AM25" s="4">
        <v>0</v>
      </c>
      <c r="AP25" s="4" t="s">
        <v>27</v>
      </c>
      <c r="AQ25" s="5">
        <v>41061</v>
      </c>
      <c r="AR25" s="4">
        <v>7</v>
      </c>
      <c r="AS25" s="6">
        <v>0</v>
      </c>
      <c r="AT25" s="4">
        <v>4000</v>
      </c>
      <c r="AU25" s="4">
        <v>0</v>
      </c>
      <c r="AX25" s="4" t="s">
        <v>27</v>
      </c>
      <c r="AY25" s="5">
        <v>41065</v>
      </c>
      <c r="AZ25" s="4">
        <v>14</v>
      </c>
      <c r="BA25" s="6">
        <v>0.34</v>
      </c>
      <c r="BB25" s="4">
        <v>2000</v>
      </c>
      <c r="BC25" s="4">
        <v>259</v>
      </c>
      <c r="BF25" s="4" t="s">
        <v>27</v>
      </c>
      <c r="BG25" s="5">
        <v>41045</v>
      </c>
      <c r="BH25" s="4">
        <v>7</v>
      </c>
      <c r="BI25" s="6">
        <v>0.37</v>
      </c>
      <c r="BJ25" s="4">
        <v>4000</v>
      </c>
      <c r="BK25" s="4">
        <v>7</v>
      </c>
      <c r="BN25" s="4" t="s">
        <v>27</v>
      </c>
      <c r="BO25" s="5">
        <v>41085</v>
      </c>
      <c r="BP25" s="4">
        <v>14</v>
      </c>
      <c r="BQ25" s="6">
        <v>0</v>
      </c>
      <c r="BR25" s="4">
        <v>3000</v>
      </c>
      <c r="BS25" s="4">
        <v>0</v>
      </c>
      <c r="BV25" s="4" t="s">
        <v>27</v>
      </c>
      <c r="BW25" s="5">
        <v>41072</v>
      </c>
      <c r="BX25" s="4">
        <v>14</v>
      </c>
      <c r="BY25" s="6">
        <v>0</v>
      </c>
      <c r="BZ25" s="4">
        <v>5000</v>
      </c>
      <c r="CA25" s="4">
        <v>0</v>
      </c>
    </row>
    <row r="26" spans="2:79" x14ac:dyDescent="0.3">
      <c r="B26" s="4" t="s">
        <v>28</v>
      </c>
      <c r="C26" s="5">
        <v>41073</v>
      </c>
      <c r="D26" s="4">
        <v>21</v>
      </c>
      <c r="E26" s="6">
        <v>0.35</v>
      </c>
      <c r="F26" s="4">
        <v>3000</v>
      </c>
      <c r="G26" s="4">
        <v>77</v>
      </c>
      <c r="J26" s="4" t="s">
        <v>28</v>
      </c>
      <c r="K26" s="5">
        <v>41088</v>
      </c>
      <c r="L26" s="4">
        <v>7</v>
      </c>
      <c r="M26" s="6">
        <v>0</v>
      </c>
      <c r="N26" s="4">
        <v>4000</v>
      </c>
      <c r="O26" s="4">
        <v>0</v>
      </c>
      <c r="R26" s="4" t="s">
        <v>28</v>
      </c>
      <c r="S26" s="5">
        <v>41060</v>
      </c>
      <c r="T26" s="4">
        <v>21</v>
      </c>
      <c r="U26" s="6">
        <v>0.53</v>
      </c>
      <c r="V26" s="4">
        <v>2000</v>
      </c>
      <c r="W26" s="4">
        <v>278</v>
      </c>
      <c r="Z26" s="4" t="s">
        <v>28</v>
      </c>
      <c r="AA26" s="5">
        <v>41082</v>
      </c>
      <c r="AB26" s="4">
        <v>21</v>
      </c>
      <c r="AC26" s="6">
        <v>0.26</v>
      </c>
      <c r="AD26" s="4">
        <v>5000</v>
      </c>
      <c r="AE26" s="4">
        <v>210</v>
      </c>
      <c r="AH26" s="4" t="s">
        <v>28</v>
      </c>
      <c r="AI26" s="5">
        <v>41060</v>
      </c>
      <c r="AJ26" s="4">
        <v>21</v>
      </c>
      <c r="AK26" s="6">
        <v>0.24</v>
      </c>
      <c r="AL26" s="4">
        <v>1000</v>
      </c>
      <c r="AM26" s="4">
        <v>104</v>
      </c>
      <c r="AP26" s="4" t="s">
        <v>28</v>
      </c>
      <c r="AQ26" s="5">
        <v>41072</v>
      </c>
      <c r="AR26" s="4">
        <v>7</v>
      </c>
      <c r="AS26" s="6">
        <v>0</v>
      </c>
      <c r="AT26" s="4">
        <v>2000</v>
      </c>
      <c r="AU26" s="4">
        <v>0</v>
      </c>
      <c r="AX26" s="4" t="s">
        <v>28</v>
      </c>
      <c r="AY26" s="5">
        <v>41082</v>
      </c>
      <c r="AZ26" s="4">
        <v>21</v>
      </c>
      <c r="BA26" s="6">
        <v>0</v>
      </c>
      <c r="BB26" s="4">
        <v>2000</v>
      </c>
      <c r="BC26" s="4">
        <v>0</v>
      </c>
      <c r="BF26" s="4" t="s">
        <v>28</v>
      </c>
      <c r="BG26" s="5">
        <v>41059</v>
      </c>
      <c r="BH26" s="4">
        <v>7</v>
      </c>
      <c r="BI26" s="6">
        <v>0</v>
      </c>
      <c r="BJ26" s="4">
        <v>1000</v>
      </c>
      <c r="BK26" s="4">
        <v>0</v>
      </c>
      <c r="BN26" s="4" t="s">
        <v>28</v>
      </c>
      <c r="BO26" s="5">
        <v>41102</v>
      </c>
      <c r="BP26" s="4">
        <v>7</v>
      </c>
      <c r="BQ26" s="6">
        <v>0.7</v>
      </c>
      <c r="BR26" s="4">
        <v>2000</v>
      </c>
      <c r="BS26" s="4">
        <v>1225</v>
      </c>
      <c r="BV26" s="4" t="s">
        <v>28</v>
      </c>
      <c r="BW26" s="5">
        <v>41081</v>
      </c>
      <c r="BX26" s="4">
        <v>7</v>
      </c>
      <c r="BY26" s="6">
        <v>0.15</v>
      </c>
      <c r="BZ26" s="4">
        <v>5000</v>
      </c>
      <c r="CA26" s="4">
        <v>806</v>
      </c>
    </row>
    <row r="27" spans="2:79" x14ac:dyDescent="0.3">
      <c r="B27" s="4" t="s">
        <v>29</v>
      </c>
      <c r="C27" s="5">
        <v>41087</v>
      </c>
      <c r="D27" s="4">
        <v>7</v>
      </c>
      <c r="E27" s="6">
        <v>0.11</v>
      </c>
      <c r="F27" s="4">
        <v>3000</v>
      </c>
      <c r="G27" s="4">
        <v>140</v>
      </c>
      <c r="J27" s="4" t="s">
        <v>29</v>
      </c>
      <c r="K27" s="5">
        <v>41106</v>
      </c>
      <c r="L27" s="4">
        <v>14</v>
      </c>
      <c r="M27" s="6">
        <v>0.38</v>
      </c>
      <c r="N27" s="4">
        <v>2000</v>
      </c>
      <c r="O27" s="4">
        <v>456</v>
      </c>
      <c r="R27" s="4" t="s">
        <v>29</v>
      </c>
      <c r="S27" s="5">
        <v>41079</v>
      </c>
      <c r="T27" s="4">
        <v>7</v>
      </c>
      <c r="U27" s="6">
        <v>0</v>
      </c>
      <c r="V27" s="4">
        <v>1000</v>
      </c>
      <c r="W27" s="4">
        <v>0</v>
      </c>
      <c r="Z27" s="4" t="s">
        <v>29</v>
      </c>
      <c r="AA27" s="5">
        <v>41094</v>
      </c>
      <c r="AB27" s="4">
        <v>7</v>
      </c>
      <c r="AC27" s="6">
        <v>0.68</v>
      </c>
      <c r="AD27" s="4">
        <v>4000</v>
      </c>
      <c r="AE27" s="4">
        <v>1997</v>
      </c>
      <c r="AH27" s="4" t="s">
        <v>29</v>
      </c>
      <c r="AI27" s="5">
        <v>41078</v>
      </c>
      <c r="AJ27" s="4">
        <v>14</v>
      </c>
      <c r="AK27" s="6">
        <v>0</v>
      </c>
      <c r="AL27" s="4">
        <v>2000</v>
      </c>
      <c r="AM27" s="4">
        <v>0</v>
      </c>
      <c r="AP27" s="4" t="s">
        <v>29</v>
      </c>
      <c r="AQ27" s="5">
        <v>41089</v>
      </c>
      <c r="AR27" s="4">
        <v>7</v>
      </c>
      <c r="AS27" s="6">
        <v>0</v>
      </c>
      <c r="AT27" s="4">
        <v>1000</v>
      </c>
      <c r="AU27" s="4">
        <v>0</v>
      </c>
      <c r="AX27" s="4" t="s">
        <v>29</v>
      </c>
      <c r="AY27" s="5">
        <v>41099</v>
      </c>
      <c r="AZ27" s="4">
        <v>7</v>
      </c>
      <c r="BA27" s="6">
        <v>0.64</v>
      </c>
      <c r="BB27" s="4">
        <v>5000</v>
      </c>
      <c r="BC27" s="4">
        <v>1792</v>
      </c>
      <c r="BF27" s="4" t="s">
        <v>29</v>
      </c>
      <c r="BG27" s="5">
        <v>41072</v>
      </c>
      <c r="BH27" s="4">
        <v>14</v>
      </c>
      <c r="BI27" s="6">
        <v>0.32</v>
      </c>
      <c r="BJ27" s="4">
        <v>4000</v>
      </c>
      <c r="BK27" s="4">
        <v>990</v>
      </c>
      <c r="BN27" s="4" t="s">
        <v>29</v>
      </c>
      <c r="BO27" s="5">
        <v>41120</v>
      </c>
      <c r="BP27" s="4">
        <v>14</v>
      </c>
      <c r="BQ27" s="6">
        <v>0.55000000000000004</v>
      </c>
      <c r="BR27" s="4">
        <v>1000</v>
      </c>
      <c r="BS27" s="4">
        <v>540</v>
      </c>
      <c r="BV27" s="4" t="s">
        <v>29</v>
      </c>
      <c r="BW27" s="5">
        <v>41092</v>
      </c>
      <c r="BX27" s="4">
        <v>14</v>
      </c>
      <c r="BY27" s="6">
        <v>0.25</v>
      </c>
      <c r="BZ27" s="4">
        <v>4000</v>
      </c>
      <c r="CA27" s="4">
        <v>866</v>
      </c>
    </row>
    <row r="28" spans="2:79" x14ac:dyDescent="0.3">
      <c r="B28" s="4" t="s">
        <v>30</v>
      </c>
      <c r="C28" s="5">
        <v>41100</v>
      </c>
      <c r="D28" s="4">
        <v>7</v>
      </c>
      <c r="E28" s="6">
        <v>0.54</v>
      </c>
      <c r="F28" s="4">
        <v>4000</v>
      </c>
      <c r="G28" s="4">
        <v>1058</v>
      </c>
      <c r="J28" s="4" t="s">
        <v>30</v>
      </c>
      <c r="K28" s="5">
        <v>41115</v>
      </c>
      <c r="L28" s="4">
        <v>21</v>
      </c>
      <c r="M28" s="6">
        <v>0</v>
      </c>
      <c r="N28" s="4">
        <v>2000</v>
      </c>
      <c r="O28" s="4">
        <v>0</v>
      </c>
      <c r="R28" s="4" t="s">
        <v>30</v>
      </c>
      <c r="S28" s="5">
        <v>41094</v>
      </c>
      <c r="T28" s="4">
        <v>21</v>
      </c>
      <c r="U28" s="6">
        <v>0</v>
      </c>
      <c r="V28" s="4">
        <v>2000</v>
      </c>
      <c r="W28" s="4">
        <v>0</v>
      </c>
      <c r="Z28" s="4" t="s">
        <v>30</v>
      </c>
      <c r="AA28" s="5">
        <v>41108</v>
      </c>
      <c r="AB28" s="4">
        <v>7</v>
      </c>
      <c r="AC28" s="6">
        <v>7.0000000000000007E-2</v>
      </c>
      <c r="AD28" s="4">
        <v>1000</v>
      </c>
      <c r="AE28" s="4">
        <v>29</v>
      </c>
      <c r="AH28" s="4" t="s">
        <v>30</v>
      </c>
      <c r="AI28" s="5">
        <v>41093</v>
      </c>
      <c r="AJ28" s="4">
        <v>21</v>
      </c>
      <c r="AK28" s="6">
        <v>0</v>
      </c>
      <c r="AL28" s="4">
        <v>5000</v>
      </c>
      <c r="AM28" s="4">
        <v>0</v>
      </c>
      <c r="AP28" s="4" t="s">
        <v>30</v>
      </c>
      <c r="AQ28" s="5">
        <v>41103</v>
      </c>
      <c r="AR28" s="4">
        <v>14</v>
      </c>
      <c r="AS28" s="6">
        <v>0</v>
      </c>
      <c r="AT28" s="4">
        <v>3000</v>
      </c>
      <c r="AU28" s="4">
        <v>0</v>
      </c>
      <c r="AX28" s="4" t="s">
        <v>30</v>
      </c>
      <c r="AY28" s="5">
        <v>41114</v>
      </c>
      <c r="AZ28" s="4">
        <v>21</v>
      </c>
      <c r="BA28" s="6">
        <v>0</v>
      </c>
      <c r="BB28" s="4">
        <v>4000</v>
      </c>
      <c r="BC28" s="4">
        <v>0</v>
      </c>
      <c r="BF28" s="4" t="s">
        <v>30</v>
      </c>
      <c r="BG28" s="5">
        <v>41085</v>
      </c>
      <c r="BH28" s="4">
        <v>7</v>
      </c>
      <c r="BI28" s="6">
        <v>0.02</v>
      </c>
      <c r="BJ28" s="4">
        <v>4000</v>
      </c>
      <c r="BK28" s="4">
        <v>46</v>
      </c>
      <c r="BN28" s="4" t="s">
        <v>30</v>
      </c>
      <c r="BO28" s="5">
        <v>41136</v>
      </c>
      <c r="BP28" s="4">
        <v>14</v>
      </c>
      <c r="BQ28" s="6">
        <v>0</v>
      </c>
      <c r="BR28" s="4">
        <v>3000</v>
      </c>
      <c r="BS28" s="4">
        <v>0</v>
      </c>
      <c r="BV28" s="4" t="s">
        <v>30</v>
      </c>
      <c r="BW28" s="5">
        <v>41101</v>
      </c>
      <c r="BX28" s="4">
        <v>7</v>
      </c>
      <c r="BY28" s="6">
        <v>0</v>
      </c>
      <c r="BZ28" s="4">
        <v>1000</v>
      </c>
      <c r="CA28" s="4">
        <v>0</v>
      </c>
    </row>
    <row r="29" spans="2:79" x14ac:dyDescent="0.3">
      <c r="B29" s="4" t="s">
        <v>31</v>
      </c>
      <c r="C29" s="5">
        <v>41117</v>
      </c>
      <c r="D29" s="4">
        <v>7</v>
      </c>
      <c r="E29" s="6">
        <v>0</v>
      </c>
      <c r="F29" s="4">
        <v>2000</v>
      </c>
      <c r="G29" s="4">
        <v>0</v>
      </c>
      <c r="J29" s="4" t="s">
        <v>31</v>
      </c>
      <c r="K29" s="5">
        <v>41128</v>
      </c>
      <c r="L29" s="4">
        <v>14</v>
      </c>
      <c r="M29" s="6">
        <v>0.21</v>
      </c>
      <c r="N29" s="4">
        <v>4000</v>
      </c>
      <c r="O29" s="4">
        <v>317</v>
      </c>
      <c r="R29" s="4" t="s">
        <v>31</v>
      </c>
      <c r="S29" s="5">
        <v>41114</v>
      </c>
      <c r="T29" s="4">
        <v>7</v>
      </c>
      <c r="U29" s="6">
        <v>0.47</v>
      </c>
      <c r="V29" s="4">
        <v>5000</v>
      </c>
      <c r="W29" s="4">
        <v>1731</v>
      </c>
      <c r="Z29" s="4" t="s">
        <v>31</v>
      </c>
      <c r="AA29" s="5">
        <v>41124</v>
      </c>
      <c r="AB29" s="4">
        <v>21</v>
      </c>
      <c r="AC29" s="6">
        <v>0</v>
      </c>
      <c r="AD29" s="4">
        <v>5000</v>
      </c>
      <c r="AE29" s="4">
        <v>0</v>
      </c>
      <c r="AH29" s="4" t="s">
        <v>31</v>
      </c>
      <c r="AI29" s="5">
        <v>41109</v>
      </c>
      <c r="AJ29" s="4">
        <v>7</v>
      </c>
      <c r="AK29" s="6">
        <v>0.25</v>
      </c>
      <c r="AL29" s="4">
        <v>5000</v>
      </c>
      <c r="AM29" s="4">
        <v>876</v>
      </c>
      <c r="AP29" s="4" t="s">
        <v>31</v>
      </c>
      <c r="AQ29" s="5">
        <v>41121</v>
      </c>
      <c r="AR29" s="4">
        <v>21</v>
      </c>
      <c r="AS29" s="6">
        <v>0.08</v>
      </c>
      <c r="AT29" s="4">
        <v>1000</v>
      </c>
      <c r="AU29" s="4">
        <v>33</v>
      </c>
      <c r="AX29" s="4" t="s">
        <v>31</v>
      </c>
      <c r="AY29" s="5">
        <v>41131</v>
      </c>
      <c r="AZ29" s="4">
        <v>14</v>
      </c>
      <c r="BA29" s="6">
        <v>0.31</v>
      </c>
      <c r="BB29" s="4">
        <v>2000</v>
      </c>
      <c r="BC29" s="4">
        <v>654</v>
      </c>
      <c r="BF29" s="4" t="s">
        <v>31</v>
      </c>
      <c r="BG29" s="5">
        <v>41102</v>
      </c>
      <c r="BH29" s="4">
        <v>14</v>
      </c>
      <c r="BI29" s="6">
        <v>0.18</v>
      </c>
      <c r="BJ29" s="4">
        <v>3000</v>
      </c>
      <c r="BK29" s="4">
        <v>290</v>
      </c>
      <c r="BN29" s="4" t="s">
        <v>31</v>
      </c>
      <c r="BO29" s="5">
        <v>41152</v>
      </c>
      <c r="BP29" s="4">
        <v>14</v>
      </c>
      <c r="BQ29" s="6">
        <v>0</v>
      </c>
      <c r="BR29" s="4">
        <v>4000</v>
      </c>
      <c r="BS29" s="4">
        <v>0</v>
      </c>
      <c r="BV29" s="4" t="s">
        <v>31</v>
      </c>
      <c r="BW29" s="5">
        <v>41110</v>
      </c>
      <c r="BX29" s="4">
        <v>7</v>
      </c>
      <c r="BY29" s="6">
        <v>0</v>
      </c>
      <c r="BZ29" s="4">
        <v>1000</v>
      </c>
      <c r="CA29" s="4">
        <v>0</v>
      </c>
    </row>
    <row r="30" spans="2:79" x14ac:dyDescent="0.3">
      <c r="B30" s="4" t="s">
        <v>32</v>
      </c>
      <c r="C30" s="5">
        <v>41129</v>
      </c>
      <c r="D30" s="4">
        <v>7</v>
      </c>
      <c r="E30" s="6">
        <v>0</v>
      </c>
      <c r="F30" s="4">
        <v>5000</v>
      </c>
      <c r="G30" s="4">
        <v>0</v>
      </c>
      <c r="J30" s="4" t="s">
        <v>32</v>
      </c>
      <c r="K30" s="5">
        <v>41148</v>
      </c>
      <c r="L30" s="4">
        <v>14</v>
      </c>
      <c r="M30" s="6">
        <v>0</v>
      </c>
      <c r="N30" s="4">
        <v>3000</v>
      </c>
      <c r="O30" s="4">
        <v>0</v>
      </c>
      <c r="R30" s="4" t="s">
        <v>32</v>
      </c>
      <c r="S30" s="5">
        <v>41124</v>
      </c>
      <c r="T30" s="4">
        <v>14</v>
      </c>
      <c r="U30" s="6">
        <v>0</v>
      </c>
      <c r="V30" s="4">
        <v>5000</v>
      </c>
      <c r="W30" s="4">
        <v>0</v>
      </c>
      <c r="Z30" s="4" t="s">
        <v>32</v>
      </c>
      <c r="AA30" s="5">
        <v>41144</v>
      </c>
      <c r="AB30" s="4">
        <v>7</v>
      </c>
      <c r="AC30" s="6">
        <v>0</v>
      </c>
      <c r="AD30" s="4">
        <v>2000</v>
      </c>
      <c r="AE30" s="4">
        <v>0</v>
      </c>
      <c r="AH30" s="4" t="s">
        <v>32</v>
      </c>
      <c r="AI30" s="5">
        <v>41124</v>
      </c>
      <c r="AJ30" s="4">
        <v>7</v>
      </c>
      <c r="AK30" s="6">
        <v>0</v>
      </c>
      <c r="AL30" s="4">
        <v>5000</v>
      </c>
      <c r="AM30" s="4">
        <v>0</v>
      </c>
      <c r="AP30" s="4" t="s">
        <v>32</v>
      </c>
      <c r="AQ30" s="5">
        <v>41134</v>
      </c>
      <c r="AR30" s="4">
        <v>14</v>
      </c>
      <c r="AS30" s="6">
        <v>0.46</v>
      </c>
      <c r="AT30" s="4">
        <v>4000</v>
      </c>
      <c r="AU30" s="4">
        <v>769</v>
      </c>
      <c r="AX30" s="4" t="s">
        <v>32</v>
      </c>
      <c r="AY30" s="5">
        <v>41148</v>
      </c>
      <c r="AZ30" s="4">
        <v>14</v>
      </c>
      <c r="BA30" s="6">
        <v>0.57999999999999996</v>
      </c>
      <c r="BB30" s="4">
        <v>1000</v>
      </c>
      <c r="BC30" s="4">
        <v>617</v>
      </c>
      <c r="BF30" s="4" t="s">
        <v>32</v>
      </c>
      <c r="BG30" s="5">
        <v>41122</v>
      </c>
      <c r="BH30" s="4">
        <v>14</v>
      </c>
      <c r="BI30" s="6">
        <v>0</v>
      </c>
      <c r="BJ30" s="4">
        <v>4000</v>
      </c>
      <c r="BK30" s="4">
        <v>0</v>
      </c>
      <c r="BN30" s="4" t="s">
        <v>32</v>
      </c>
      <c r="BO30" s="5">
        <v>41170</v>
      </c>
      <c r="BP30" s="4">
        <v>14</v>
      </c>
      <c r="BQ30" s="6">
        <v>0</v>
      </c>
      <c r="BR30" s="4">
        <v>1000</v>
      </c>
      <c r="BS30" s="4">
        <v>0</v>
      </c>
      <c r="BV30" s="4" t="s">
        <v>32</v>
      </c>
      <c r="BW30" s="5">
        <v>41124</v>
      </c>
      <c r="BX30" s="4">
        <v>7</v>
      </c>
      <c r="BY30" s="6">
        <v>0</v>
      </c>
      <c r="BZ30" s="4">
        <v>2000</v>
      </c>
      <c r="CA30" s="4">
        <v>0</v>
      </c>
    </row>
    <row r="31" spans="2:79" x14ac:dyDescent="0.3">
      <c r="B31" s="4" t="s">
        <v>33</v>
      </c>
      <c r="C31" s="5">
        <v>41141</v>
      </c>
      <c r="D31" s="4">
        <v>21</v>
      </c>
      <c r="E31" s="6">
        <v>0</v>
      </c>
      <c r="F31" s="4">
        <v>3000</v>
      </c>
      <c r="G31" s="4">
        <v>0</v>
      </c>
      <c r="J31" s="4" t="s">
        <v>33</v>
      </c>
      <c r="K31" s="5">
        <v>41163</v>
      </c>
      <c r="L31" s="4">
        <v>21</v>
      </c>
      <c r="M31" s="6">
        <v>0.36</v>
      </c>
      <c r="N31" s="4">
        <v>3000</v>
      </c>
      <c r="O31" s="4">
        <v>855</v>
      </c>
      <c r="Z31" s="4" t="s">
        <v>33</v>
      </c>
      <c r="AA31" s="5">
        <v>41164</v>
      </c>
      <c r="AB31" s="4">
        <v>14</v>
      </c>
      <c r="AC31" s="6">
        <v>0.69</v>
      </c>
      <c r="AD31" s="4">
        <v>5000</v>
      </c>
      <c r="AE31" s="4">
        <v>2520</v>
      </c>
      <c r="AH31" s="4" t="s">
        <v>33</v>
      </c>
      <c r="AI31" s="5">
        <v>41138</v>
      </c>
      <c r="AJ31" s="4">
        <v>14</v>
      </c>
      <c r="AK31" s="6">
        <v>0</v>
      </c>
      <c r="AL31" s="4">
        <v>1000</v>
      </c>
      <c r="AM31" s="4">
        <v>0</v>
      </c>
      <c r="AP31" s="4" t="s">
        <v>33</v>
      </c>
      <c r="AQ31" s="5">
        <v>41152</v>
      </c>
      <c r="AR31" s="4">
        <v>7</v>
      </c>
      <c r="AS31" s="6">
        <v>0.49</v>
      </c>
      <c r="AT31" s="4">
        <v>4000</v>
      </c>
      <c r="AU31" s="4">
        <v>1199</v>
      </c>
      <c r="AX31" s="4" t="s">
        <v>33</v>
      </c>
      <c r="AY31" s="5">
        <v>41158</v>
      </c>
      <c r="AZ31" s="4">
        <v>7</v>
      </c>
      <c r="BA31" s="6">
        <v>0</v>
      </c>
      <c r="BB31" s="4">
        <v>5000</v>
      </c>
      <c r="BC31" s="4">
        <v>0</v>
      </c>
      <c r="BF31" s="4" t="s">
        <v>33</v>
      </c>
      <c r="BG31" s="5">
        <v>41131</v>
      </c>
      <c r="BH31" s="4">
        <v>14</v>
      </c>
      <c r="BI31" s="6">
        <v>0</v>
      </c>
      <c r="BJ31" s="4">
        <v>1000</v>
      </c>
      <c r="BK31" s="4">
        <v>0</v>
      </c>
      <c r="BN31" s="4" t="s">
        <v>33</v>
      </c>
      <c r="BO31" s="5">
        <v>41179</v>
      </c>
      <c r="BP31" s="4">
        <v>21</v>
      </c>
      <c r="BQ31" s="6">
        <v>0</v>
      </c>
      <c r="BR31" s="4">
        <v>4000</v>
      </c>
      <c r="BS31" s="4">
        <v>0</v>
      </c>
      <c r="BV31" s="4" t="s">
        <v>33</v>
      </c>
      <c r="BW31" s="5">
        <v>41138</v>
      </c>
      <c r="BX31" s="4">
        <v>21</v>
      </c>
      <c r="BY31" s="6">
        <v>0</v>
      </c>
      <c r="BZ31" s="4">
        <v>1000</v>
      </c>
      <c r="CA31" s="4">
        <v>0</v>
      </c>
    </row>
    <row r="32" spans="2:79" x14ac:dyDescent="0.3">
      <c r="B32" s="4" t="s">
        <v>34</v>
      </c>
      <c r="C32" s="5">
        <v>41158</v>
      </c>
      <c r="D32" s="4">
        <v>21</v>
      </c>
      <c r="E32" s="6">
        <v>0.37</v>
      </c>
      <c r="F32" s="4">
        <v>1000</v>
      </c>
      <c r="G32" s="4">
        <v>69</v>
      </c>
      <c r="J32" s="4" t="s">
        <v>34</v>
      </c>
      <c r="K32" s="5">
        <v>41177</v>
      </c>
      <c r="L32" s="4">
        <v>7</v>
      </c>
      <c r="M32" s="6">
        <v>0</v>
      </c>
      <c r="N32" s="4">
        <v>4000</v>
      </c>
      <c r="O32" s="4">
        <v>0</v>
      </c>
      <c r="Z32" s="4" t="s">
        <v>34</v>
      </c>
      <c r="AA32" s="5">
        <v>41177</v>
      </c>
      <c r="AB32" s="4">
        <v>7</v>
      </c>
      <c r="AC32" s="6">
        <v>0.7</v>
      </c>
      <c r="AD32" s="4">
        <v>2000</v>
      </c>
      <c r="AE32" s="4">
        <v>1283</v>
      </c>
      <c r="AH32" s="4" t="s">
        <v>34</v>
      </c>
      <c r="AI32" s="5">
        <v>41156</v>
      </c>
      <c r="AJ32" s="4">
        <v>21</v>
      </c>
      <c r="AK32" s="6">
        <v>0.69</v>
      </c>
      <c r="AL32" s="4">
        <v>2000</v>
      </c>
      <c r="AM32" s="4">
        <v>900</v>
      </c>
      <c r="AP32" s="4" t="s">
        <v>34</v>
      </c>
      <c r="AQ32" s="5">
        <v>41169</v>
      </c>
      <c r="AR32" s="4">
        <v>21</v>
      </c>
      <c r="AS32" s="6">
        <v>0</v>
      </c>
      <c r="AT32" s="4">
        <v>5000</v>
      </c>
      <c r="AU32" s="4">
        <v>0</v>
      </c>
      <c r="AX32" s="4" t="s">
        <v>34</v>
      </c>
      <c r="AY32" s="5">
        <v>41170</v>
      </c>
      <c r="AZ32" s="4">
        <v>21</v>
      </c>
      <c r="BA32" s="6">
        <v>0</v>
      </c>
      <c r="BB32" s="4">
        <v>2000</v>
      </c>
      <c r="BC32" s="4">
        <v>0</v>
      </c>
      <c r="BF32" s="4" t="s">
        <v>34</v>
      </c>
      <c r="BG32" s="5">
        <v>41145</v>
      </c>
      <c r="BH32" s="4">
        <v>14</v>
      </c>
      <c r="BI32" s="6">
        <v>0.55000000000000004</v>
      </c>
      <c r="BJ32" s="4">
        <v>4000</v>
      </c>
      <c r="BK32" s="4">
        <v>2172</v>
      </c>
      <c r="BN32" s="4" t="s">
        <v>34</v>
      </c>
      <c r="BO32" s="5">
        <v>41198</v>
      </c>
      <c r="BP32" s="4">
        <v>14</v>
      </c>
      <c r="BQ32" s="6">
        <v>0.39</v>
      </c>
      <c r="BR32" s="4">
        <v>1000</v>
      </c>
      <c r="BS32" s="4">
        <v>150</v>
      </c>
      <c r="BV32" s="4" t="s">
        <v>34</v>
      </c>
      <c r="BW32" s="5">
        <v>41158</v>
      </c>
      <c r="BX32" s="4">
        <v>7</v>
      </c>
      <c r="BY32" s="6">
        <v>0</v>
      </c>
      <c r="BZ32" s="4">
        <v>3000</v>
      </c>
      <c r="CA32" s="4">
        <v>0</v>
      </c>
    </row>
    <row r="33" spans="2:79" x14ac:dyDescent="0.3">
      <c r="B33" s="4" t="s">
        <v>35</v>
      </c>
      <c r="C33" s="5">
        <v>41172</v>
      </c>
      <c r="D33" s="4">
        <v>21</v>
      </c>
      <c r="E33" s="6">
        <v>0</v>
      </c>
      <c r="F33" s="4">
        <v>2000</v>
      </c>
      <c r="G33" s="4">
        <v>0</v>
      </c>
      <c r="J33" s="4" t="s">
        <v>35</v>
      </c>
      <c r="K33" s="5">
        <v>41190</v>
      </c>
      <c r="L33" s="4">
        <v>14</v>
      </c>
      <c r="M33" s="6">
        <v>0</v>
      </c>
      <c r="N33" s="4">
        <v>5000</v>
      </c>
      <c r="O33" s="4">
        <v>0</v>
      </c>
      <c r="Z33" s="4" t="s">
        <v>35</v>
      </c>
      <c r="AA33" s="5">
        <v>41186</v>
      </c>
      <c r="AB33" s="4">
        <v>21</v>
      </c>
      <c r="AC33" s="6">
        <v>0.66</v>
      </c>
      <c r="AD33" s="4">
        <v>1000</v>
      </c>
      <c r="AE33" s="4">
        <v>538</v>
      </c>
      <c r="AH33" s="4" t="s">
        <v>35</v>
      </c>
      <c r="AI33" s="5">
        <v>41165</v>
      </c>
      <c r="AJ33" s="4">
        <v>21</v>
      </c>
      <c r="AK33" s="6">
        <v>0.18</v>
      </c>
      <c r="AL33" s="4">
        <v>3000</v>
      </c>
      <c r="AM33" s="4">
        <v>548</v>
      </c>
      <c r="AP33" s="4" t="s">
        <v>35</v>
      </c>
      <c r="AQ33" s="5">
        <v>41186</v>
      </c>
      <c r="AR33" s="4">
        <v>7</v>
      </c>
      <c r="AS33" s="6">
        <v>0</v>
      </c>
      <c r="AT33" s="4">
        <v>3000</v>
      </c>
      <c r="AU33" s="4">
        <v>0</v>
      </c>
      <c r="AX33" s="4" t="s">
        <v>35</v>
      </c>
      <c r="AY33" s="5">
        <v>41183</v>
      </c>
      <c r="AZ33" s="4">
        <v>7</v>
      </c>
      <c r="BA33" s="6">
        <v>0.52</v>
      </c>
      <c r="BB33" s="4">
        <v>5000</v>
      </c>
      <c r="BC33" s="4">
        <v>512</v>
      </c>
      <c r="BF33" s="4" t="s">
        <v>35</v>
      </c>
      <c r="BG33" s="5">
        <v>41159</v>
      </c>
      <c r="BH33" s="4">
        <v>21</v>
      </c>
      <c r="BI33" s="6">
        <v>0</v>
      </c>
      <c r="BJ33" s="4">
        <v>4000</v>
      </c>
      <c r="BK33" s="4">
        <v>0</v>
      </c>
      <c r="BN33" s="4" t="s">
        <v>35</v>
      </c>
      <c r="BO33" s="5">
        <v>41207</v>
      </c>
      <c r="BP33" s="4">
        <v>7</v>
      </c>
      <c r="BQ33" s="6">
        <v>0.16</v>
      </c>
      <c r="BR33" s="4">
        <v>4000</v>
      </c>
      <c r="BS33" s="4">
        <v>166</v>
      </c>
      <c r="BV33" s="4" t="s">
        <v>35</v>
      </c>
      <c r="BW33" s="5">
        <v>41172</v>
      </c>
      <c r="BX33" s="4">
        <v>14</v>
      </c>
      <c r="BY33" s="6">
        <v>0</v>
      </c>
      <c r="BZ33" s="4">
        <v>2000</v>
      </c>
      <c r="CA33" s="4">
        <v>0</v>
      </c>
    </row>
    <row r="34" spans="2:79" x14ac:dyDescent="0.3">
      <c r="B34" s="4" t="s">
        <v>36</v>
      </c>
      <c r="C34" s="5">
        <v>41185</v>
      </c>
      <c r="D34" s="4">
        <v>7</v>
      </c>
      <c r="E34" s="6">
        <v>0</v>
      </c>
      <c r="F34" s="4">
        <v>4000</v>
      </c>
      <c r="G34" s="4">
        <v>0</v>
      </c>
      <c r="J34" s="4" t="s">
        <v>36</v>
      </c>
      <c r="K34" s="5">
        <v>41207</v>
      </c>
      <c r="L34" s="4">
        <v>21</v>
      </c>
      <c r="M34" s="6">
        <v>0.01</v>
      </c>
      <c r="N34" s="4">
        <v>2000</v>
      </c>
      <c r="O34" s="4">
        <v>6</v>
      </c>
      <c r="Z34" s="4" t="s">
        <v>36</v>
      </c>
      <c r="AA34" s="5">
        <v>41205</v>
      </c>
      <c r="AB34" s="4">
        <v>7</v>
      </c>
      <c r="AC34" s="6">
        <v>0</v>
      </c>
      <c r="AD34" s="4">
        <v>3000</v>
      </c>
      <c r="AE34" s="4">
        <v>0</v>
      </c>
      <c r="AH34" s="4" t="s">
        <v>36</v>
      </c>
      <c r="AI34" s="5">
        <v>41184</v>
      </c>
      <c r="AJ34" s="4">
        <v>14</v>
      </c>
      <c r="AK34" s="6">
        <v>0</v>
      </c>
      <c r="AL34" s="4">
        <v>4000</v>
      </c>
      <c r="AM34" s="4">
        <v>0</v>
      </c>
      <c r="AP34" s="4" t="s">
        <v>36</v>
      </c>
      <c r="AQ34" s="5">
        <v>41199</v>
      </c>
      <c r="AR34" s="4">
        <v>7</v>
      </c>
      <c r="AS34" s="6">
        <v>0.28999999999999998</v>
      </c>
      <c r="AT34" s="4">
        <v>2000</v>
      </c>
      <c r="AU34" s="4">
        <v>12</v>
      </c>
      <c r="AX34" s="4" t="s">
        <v>36</v>
      </c>
      <c r="AY34" s="5">
        <v>41197</v>
      </c>
      <c r="AZ34" s="4">
        <v>7</v>
      </c>
      <c r="BA34" s="6">
        <v>0.46</v>
      </c>
      <c r="BB34" s="4">
        <v>5000</v>
      </c>
      <c r="BC34" s="4">
        <v>922</v>
      </c>
      <c r="BF34" s="4" t="s">
        <v>36</v>
      </c>
      <c r="BG34" s="5">
        <v>41176</v>
      </c>
      <c r="BH34" s="4">
        <v>7</v>
      </c>
      <c r="BI34" s="6">
        <v>0</v>
      </c>
      <c r="BJ34" s="4">
        <v>5000</v>
      </c>
      <c r="BK34" s="4">
        <v>0</v>
      </c>
      <c r="BN34" s="4" t="s">
        <v>36</v>
      </c>
      <c r="BO34" s="5">
        <v>41226</v>
      </c>
      <c r="BP34" s="4">
        <v>14</v>
      </c>
      <c r="BQ34" s="6">
        <v>0.11</v>
      </c>
      <c r="BR34" s="4">
        <v>1000</v>
      </c>
      <c r="BS34" s="4">
        <v>102</v>
      </c>
      <c r="BV34" s="4" t="s">
        <v>36</v>
      </c>
      <c r="BW34" s="5">
        <v>41184</v>
      </c>
      <c r="BX34" s="4">
        <v>14</v>
      </c>
      <c r="BY34" s="6">
        <v>0</v>
      </c>
      <c r="BZ34" s="4">
        <v>4000</v>
      </c>
      <c r="CA34" s="4">
        <v>0</v>
      </c>
    </row>
    <row r="35" spans="2:79" x14ac:dyDescent="0.3">
      <c r="B35" s="4" t="s">
        <v>37</v>
      </c>
      <c r="C35" s="5">
        <v>41205</v>
      </c>
      <c r="D35" s="4">
        <v>7</v>
      </c>
      <c r="E35" s="6">
        <v>0.38</v>
      </c>
      <c r="F35" s="4">
        <v>3000</v>
      </c>
      <c r="G35" s="4">
        <v>169</v>
      </c>
      <c r="J35" s="4" t="s">
        <v>37</v>
      </c>
      <c r="K35" s="5">
        <v>41225</v>
      </c>
      <c r="L35" s="4">
        <v>14</v>
      </c>
      <c r="M35" s="6">
        <v>0</v>
      </c>
      <c r="N35" s="4">
        <v>3000</v>
      </c>
      <c r="O35" s="4">
        <v>0</v>
      </c>
      <c r="Z35" s="4" t="s">
        <v>37</v>
      </c>
      <c r="AA35" s="5">
        <v>41222</v>
      </c>
      <c r="AB35" s="4">
        <v>14</v>
      </c>
      <c r="AC35" s="6">
        <v>0.14000000000000001</v>
      </c>
      <c r="AD35" s="4">
        <v>2000</v>
      </c>
      <c r="AE35" s="4">
        <v>196</v>
      </c>
      <c r="AH35" s="4" t="s">
        <v>37</v>
      </c>
      <c r="AI35" s="5">
        <v>41193</v>
      </c>
      <c r="AJ35" s="4">
        <v>7</v>
      </c>
      <c r="AK35" s="6">
        <v>0</v>
      </c>
      <c r="AL35" s="4">
        <v>4000</v>
      </c>
      <c r="AM35" s="4">
        <v>0</v>
      </c>
      <c r="AP35" s="4" t="s">
        <v>37</v>
      </c>
      <c r="AQ35" s="5">
        <v>41215</v>
      </c>
      <c r="AR35" s="4">
        <v>14</v>
      </c>
      <c r="AS35" s="6">
        <v>0.6</v>
      </c>
      <c r="AT35" s="4">
        <v>5000</v>
      </c>
      <c r="AU35" s="4">
        <v>1446</v>
      </c>
      <c r="AX35" s="4" t="s">
        <v>37</v>
      </c>
      <c r="AY35" s="5">
        <v>41211</v>
      </c>
      <c r="AZ35" s="4">
        <v>7</v>
      </c>
      <c r="BA35" s="6">
        <v>0.12</v>
      </c>
      <c r="BB35" s="4">
        <v>4000</v>
      </c>
      <c r="BC35" s="4">
        <v>438</v>
      </c>
      <c r="BF35" s="4" t="s">
        <v>37</v>
      </c>
      <c r="BG35" s="5">
        <v>41194</v>
      </c>
      <c r="BH35" s="4">
        <v>7</v>
      </c>
      <c r="BI35" s="6">
        <v>0</v>
      </c>
      <c r="BJ35" s="4">
        <v>4000</v>
      </c>
      <c r="BK35" s="4">
        <v>0</v>
      </c>
      <c r="BN35" s="4" t="s">
        <v>37</v>
      </c>
      <c r="BO35" s="5">
        <v>41235</v>
      </c>
      <c r="BP35" s="4">
        <v>21</v>
      </c>
      <c r="BQ35" s="6">
        <v>0.4</v>
      </c>
      <c r="BR35" s="4">
        <v>4000</v>
      </c>
      <c r="BS35" s="4">
        <v>1335</v>
      </c>
      <c r="BV35" s="4" t="s">
        <v>37</v>
      </c>
      <c r="BW35" s="5">
        <v>41201</v>
      </c>
      <c r="BX35" s="4">
        <v>21</v>
      </c>
      <c r="BY35" s="6">
        <v>0.35</v>
      </c>
      <c r="BZ35" s="4">
        <v>4000</v>
      </c>
      <c r="CA35" s="4">
        <v>94</v>
      </c>
    </row>
    <row r="36" spans="2:79" x14ac:dyDescent="0.3">
      <c r="B36" s="4" t="s">
        <v>38</v>
      </c>
      <c r="C36" s="5">
        <v>41219</v>
      </c>
      <c r="D36" s="4">
        <v>14</v>
      </c>
      <c r="E36" s="6">
        <v>0</v>
      </c>
      <c r="F36" s="4">
        <v>2000</v>
      </c>
      <c r="G36" s="4">
        <v>0</v>
      </c>
      <c r="J36" s="4" t="s">
        <v>38</v>
      </c>
      <c r="K36" s="5">
        <v>41235</v>
      </c>
      <c r="L36" s="4">
        <v>7</v>
      </c>
      <c r="M36" s="6">
        <v>0.38</v>
      </c>
      <c r="N36" s="4">
        <v>5000</v>
      </c>
      <c r="O36" s="4">
        <v>25</v>
      </c>
      <c r="Z36" s="4" t="s">
        <v>38</v>
      </c>
      <c r="AA36" s="5">
        <v>41236</v>
      </c>
      <c r="AB36" s="4">
        <v>14</v>
      </c>
      <c r="AC36" s="6">
        <v>0.57999999999999996</v>
      </c>
      <c r="AD36" s="4">
        <v>1000</v>
      </c>
      <c r="AE36" s="4">
        <v>454</v>
      </c>
      <c r="AH36" s="4" t="s">
        <v>38</v>
      </c>
      <c r="AI36" s="5">
        <v>41213</v>
      </c>
      <c r="AJ36" s="4">
        <v>21</v>
      </c>
      <c r="AK36" s="6">
        <v>0.17</v>
      </c>
      <c r="AL36" s="4">
        <v>5000</v>
      </c>
      <c r="AM36" s="4">
        <v>525</v>
      </c>
      <c r="AP36" s="4" t="s">
        <v>38</v>
      </c>
      <c r="AQ36" s="5">
        <v>41228</v>
      </c>
      <c r="AR36" s="4">
        <v>14</v>
      </c>
      <c r="AS36" s="6">
        <v>0.33</v>
      </c>
      <c r="AT36" s="4">
        <v>3000</v>
      </c>
      <c r="AU36" s="4">
        <v>253</v>
      </c>
      <c r="AX36" s="4" t="s">
        <v>38</v>
      </c>
      <c r="AY36" s="5">
        <v>41226</v>
      </c>
      <c r="AZ36" s="4">
        <v>7</v>
      </c>
      <c r="BA36" s="6">
        <v>0.28000000000000003</v>
      </c>
      <c r="BB36" s="4">
        <v>1000</v>
      </c>
      <c r="BC36" s="4">
        <v>53</v>
      </c>
      <c r="BF36" s="4" t="s">
        <v>38</v>
      </c>
      <c r="BG36" s="5">
        <v>41214</v>
      </c>
      <c r="BH36" s="4">
        <v>7</v>
      </c>
      <c r="BI36" s="6">
        <v>0.19</v>
      </c>
      <c r="BJ36" s="4">
        <v>1000</v>
      </c>
      <c r="BK36" s="4">
        <v>87</v>
      </c>
      <c r="BN36" s="4" t="s">
        <v>38</v>
      </c>
      <c r="BO36" s="5">
        <v>41246</v>
      </c>
      <c r="BP36" s="4">
        <v>14</v>
      </c>
      <c r="BQ36" s="6">
        <v>0</v>
      </c>
      <c r="BR36" s="4">
        <v>2000</v>
      </c>
      <c r="BS36" s="4">
        <v>0</v>
      </c>
      <c r="BV36" s="4" t="s">
        <v>38</v>
      </c>
      <c r="BW36" s="5">
        <v>41214</v>
      </c>
      <c r="BX36" s="4">
        <v>21</v>
      </c>
      <c r="BY36" s="6">
        <v>0</v>
      </c>
      <c r="BZ36" s="4">
        <v>4000</v>
      </c>
      <c r="CA36" s="4">
        <v>0</v>
      </c>
    </row>
    <row r="37" spans="2:79" x14ac:dyDescent="0.3">
      <c r="B37" s="4" t="s">
        <v>39</v>
      </c>
      <c r="C37" s="5">
        <v>41235</v>
      </c>
      <c r="D37" s="4">
        <v>7</v>
      </c>
      <c r="E37" s="6">
        <v>0.26</v>
      </c>
      <c r="F37" s="4">
        <v>2000</v>
      </c>
      <c r="G37" s="4">
        <v>492</v>
      </c>
      <c r="J37" s="4" t="s">
        <v>39</v>
      </c>
      <c r="K37" s="5">
        <v>41255</v>
      </c>
      <c r="L37" s="4">
        <v>21</v>
      </c>
      <c r="M37" s="6">
        <v>0.27</v>
      </c>
      <c r="N37" s="4">
        <v>4000</v>
      </c>
      <c r="O37" s="4">
        <v>666</v>
      </c>
      <c r="Z37" s="4" t="s">
        <v>39</v>
      </c>
      <c r="AA37" s="5">
        <v>41253</v>
      </c>
      <c r="AB37" s="4">
        <v>21</v>
      </c>
      <c r="AC37" s="6">
        <v>0.48</v>
      </c>
      <c r="AD37" s="4">
        <v>4000</v>
      </c>
      <c r="AE37" s="4">
        <v>1725</v>
      </c>
      <c r="AH37" s="4" t="s">
        <v>39</v>
      </c>
      <c r="AI37" s="5">
        <v>41229</v>
      </c>
      <c r="AJ37" s="4">
        <v>7</v>
      </c>
      <c r="AK37" s="6">
        <v>0</v>
      </c>
      <c r="AL37" s="4">
        <v>1000</v>
      </c>
      <c r="AM37" s="4">
        <v>0</v>
      </c>
      <c r="AP37" s="4" t="s">
        <v>39</v>
      </c>
      <c r="AQ37" s="5">
        <v>41243</v>
      </c>
      <c r="AR37" s="4">
        <v>14</v>
      </c>
      <c r="AS37" s="6">
        <v>0.69</v>
      </c>
      <c r="AT37" s="4">
        <v>3000</v>
      </c>
      <c r="AU37" s="4">
        <v>1270</v>
      </c>
      <c r="AX37" s="4" t="s">
        <v>39</v>
      </c>
      <c r="AY37" s="5">
        <v>41235</v>
      </c>
      <c r="AZ37" s="4">
        <v>21</v>
      </c>
      <c r="BA37" s="6">
        <v>0.28000000000000003</v>
      </c>
      <c r="BB37" s="4">
        <v>5000</v>
      </c>
      <c r="BC37" s="4">
        <v>938</v>
      </c>
      <c r="BF37" s="4" t="s">
        <v>39</v>
      </c>
      <c r="BG37" s="5">
        <v>41232</v>
      </c>
      <c r="BH37" s="4">
        <v>7</v>
      </c>
      <c r="BI37" s="6">
        <v>0.47</v>
      </c>
      <c r="BJ37" s="4">
        <v>4000</v>
      </c>
      <c r="BK37" s="4">
        <v>1222</v>
      </c>
      <c r="BN37" s="4" t="s">
        <v>39</v>
      </c>
      <c r="BO37" s="5">
        <v>41263</v>
      </c>
      <c r="BP37" s="4">
        <v>21</v>
      </c>
      <c r="BQ37" s="6">
        <v>0</v>
      </c>
      <c r="BR37" s="4">
        <v>3000</v>
      </c>
      <c r="BS37" s="4">
        <v>0</v>
      </c>
      <c r="BV37" s="4" t="s">
        <v>39</v>
      </c>
      <c r="BW37" s="5">
        <v>41226</v>
      </c>
      <c r="BX37" s="4">
        <v>7</v>
      </c>
      <c r="BY37" s="6">
        <v>0.05</v>
      </c>
      <c r="BZ37" s="4">
        <v>2000</v>
      </c>
      <c r="CA37" s="4">
        <v>79</v>
      </c>
    </row>
    <row r="38" spans="2:79" x14ac:dyDescent="0.3">
      <c r="B38" s="4" t="s">
        <v>40</v>
      </c>
      <c r="C38" s="5">
        <v>41246</v>
      </c>
      <c r="D38" s="4">
        <v>14</v>
      </c>
      <c r="E38" s="6">
        <v>0</v>
      </c>
      <c r="F38" s="4">
        <v>5000</v>
      </c>
      <c r="G38" s="4">
        <v>0</v>
      </c>
      <c r="J38" s="4" t="s">
        <v>40</v>
      </c>
      <c r="K38" s="5">
        <v>41274</v>
      </c>
      <c r="L38" s="4">
        <v>14</v>
      </c>
      <c r="M38" s="6">
        <v>0</v>
      </c>
      <c r="N38" s="4">
        <v>5000</v>
      </c>
      <c r="O38" s="4">
        <v>0</v>
      </c>
      <c r="Z38" s="4" t="s">
        <v>40</v>
      </c>
      <c r="AA38" s="5">
        <v>41263</v>
      </c>
      <c r="AB38" s="4">
        <v>7</v>
      </c>
      <c r="AC38" s="6">
        <v>0</v>
      </c>
      <c r="AD38" s="4">
        <v>3000</v>
      </c>
      <c r="AE38" s="4">
        <v>0</v>
      </c>
      <c r="AH38" s="4" t="s">
        <v>40</v>
      </c>
      <c r="AI38" s="5">
        <v>41246</v>
      </c>
      <c r="AJ38" s="4">
        <v>14</v>
      </c>
      <c r="AK38" s="6">
        <v>0.52</v>
      </c>
      <c r="AL38" s="4">
        <v>5000</v>
      </c>
      <c r="AM38" s="4">
        <v>204</v>
      </c>
      <c r="AP38" s="4" t="s">
        <v>40</v>
      </c>
      <c r="AQ38" s="5">
        <v>41255</v>
      </c>
      <c r="AR38" s="4">
        <v>21</v>
      </c>
      <c r="AS38" s="6">
        <v>0</v>
      </c>
      <c r="AT38" s="4">
        <v>3000</v>
      </c>
      <c r="AU38" s="4">
        <v>0</v>
      </c>
      <c r="AX38" s="4" t="s">
        <v>40</v>
      </c>
      <c r="AY38" s="5">
        <v>41253</v>
      </c>
      <c r="AZ38" s="4">
        <v>21</v>
      </c>
      <c r="BA38" s="6">
        <v>0</v>
      </c>
      <c r="BB38" s="4">
        <v>1000</v>
      </c>
      <c r="BC38" s="4">
        <v>0</v>
      </c>
      <c r="BF38" s="4" t="s">
        <v>40</v>
      </c>
      <c r="BG38" s="5">
        <v>41248</v>
      </c>
      <c r="BH38" s="4">
        <v>7</v>
      </c>
      <c r="BI38" s="6">
        <v>0.56999999999999995</v>
      </c>
      <c r="BJ38" s="4">
        <v>5000</v>
      </c>
      <c r="BK38" s="4">
        <v>1533</v>
      </c>
      <c r="BN38" s="4" t="s">
        <v>40</v>
      </c>
      <c r="BO38" s="5">
        <v>41278</v>
      </c>
      <c r="BP38" s="4">
        <v>21</v>
      </c>
      <c r="BQ38" s="6">
        <v>0</v>
      </c>
      <c r="BR38" s="4">
        <v>2000</v>
      </c>
      <c r="BS38" s="4">
        <v>0</v>
      </c>
      <c r="BV38" s="4" t="s">
        <v>40</v>
      </c>
      <c r="BW38" s="5">
        <v>41246</v>
      </c>
      <c r="BX38" s="4">
        <v>7</v>
      </c>
      <c r="BY38" s="6">
        <v>0</v>
      </c>
      <c r="BZ38" s="4">
        <v>1000</v>
      </c>
      <c r="CA38" s="4">
        <v>0</v>
      </c>
    </row>
    <row r="39" spans="2:79" x14ac:dyDescent="0.3">
      <c r="B39" s="4" t="s">
        <v>41</v>
      </c>
      <c r="C39" s="5">
        <v>41260</v>
      </c>
      <c r="D39" s="4">
        <v>14</v>
      </c>
      <c r="E39" s="6">
        <v>0</v>
      </c>
      <c r="F39" s="4">
        <v>3000</v>
      </c>
      <c r="G39" s="4">
        <v>0</v>
      </c>
      <c r="J39" s="4" t="s">
        <v>41</v>
      </c>
      <c r="K39" s="5">
        <v>41292</v>
      </c>
      <c r="L39" s="4">
        <v>7</v>
      </c>
      <c r="M39" s="6">
        <v>0</v>
      </c>
      <c r="N39" s="4">
        <v>1000</v>
      </c>
      <c r="O39" s="4">
        <v>0</v>
      </c>
      <c r="Z39" s="4" t="s">
        <v>41</v>
      </c>
      <c r="AA39" s="5">
        <v>41281</v>
      </c>
      <c r="AB39" s="4">
        <v>14</v>
      </c>
      <c r="AC39" s="6">
        <v>0.7</v>
      </c>
      <c r="AD39" s="4">
        <v>5000</v>
      </c>
      <c r="AE39" s="4">
        <v>3207</v>
      </c>
      <c r="AH39" s="4" t="s">
        <v>41</v>
      </c>
      <c r="AI39" s="5">
        <v>41264</v>
      </c>
      <c r="AJ39" s="4">
        <v>21</v>
      </c>
      <c r="AK39" s="6">
        <v>0.66</v>
      </c>
      <c r="AL39" s="4">
        <v>2000</v>
      </c>
      <c r="AM39" s="4">
        <v>29</v>
      </c>
      <c r="AP39" s="4" t="s">
        <v>41</v>
      </c>
      <c r="AQ39" s="5">
        <v>41269</v>
      </c>
      <c r="AR39" s="4">
        <v>21</v>
      </c>
      <c r="AS39" s="6">
        <v>0</v>
      </c>
      <c r="AT39" s="4">
        <v>2000</v>
      </c>
      <c r="AU39" s="4">
        <v>0</v>
      </c>
      <c r="AX39" s="4" t="s">
        <v>41</v>
      </c>
      <c r="AY39" s="5">
        <v>41263</v>
      </c>
      <c r="AZ39" s="4">
        <v>14</v>
      </c>
      <c r="BA39" s="6">
        <v>0.41</v>
      </c>
      <c r="BB39" s="4">
        <v>5000</v>
      </c>
      <c r="BC39" s="4">
        <v>1617</v>
      </c>
      <c r="BF39" s="4" t="s">
        <v>41</v>
      </c>
      <c r="BG39" s="5">
        <v>41261</v>
      </c>
      <c r="BH39" s="4">
        <v>14</v>
      </c>
      <c r="BI39" s="6">
        <v>0</v>
      </c>
      <c r="BJ39" s="4">
        <v>4000</v>
      </c>
      <c r="BK39" s="4">
        <v>0</v>
      </c>
      <c r="BN39" s="4" t="s">
        <v>41</v>
      </c>
      <c r="BO39" s="5">
        <v>41290</v>
      </c>
      <c r="BP39" s="4">
        <v>21</v>
      </c>
      <c r="BQ39" s="6">
        <v>0</v>
      </c>
      <c r="BR39" s="4">
        <v>3000</v>
      </c>
      <c r="BS39" s="4">
        <v>0</v>
      </c>
      <c r="BV39" s="4" t="s">
        <v>41</v>
      </c>
      <c r="BW39" s="5">
        <v>41255</v>
      </c>
      <c r="BX39" s="4">
        <v>14</v>
      </c>
      <c r="BY39" s="6">
        <v>0</v>
      </c>
      <c r="BZ39" s="4">
        <v>1000</v>
      </c>
      <c r="CA39" s="4">
        <v>0</v>
      </c>
    </row>
    <row r="40" spans="2:79" x14ac:dyDescent="0.3">
      <c r="B40" s="4" t="s">
        <v>42</v>
      </c>
      <c r="C40" s="5">
        <v>41274</v>
      </c>
      <c r="D40" s="4">
        <v>14</v>
      </c>
      <c r="E40" s="6">
        <v>0.16</v>
      </c>
      <c r="F40" s="4">
        <v>2000</v>
      </c>
      <c r="G40" s="4">
        <v>204</v>
      </c>
      <c r="J40" s="4" t="s">
        <v>42</v>
      </c>
      <c r="K40" s="5">
        <v>41312</v>
      </c>
      <c r="L40" s="4">
        <v>7</v>
      </c>
      <c r="M40" s="6">
        <v>0</v>
      </c>
      <c r="N40" s="4">
        <v>4000</v>
      </c>
      <c r="O40" s="4">
        <v>0</v>
      </c>
      <c r="Z40" s="4" t="s">
        <v>42</v>
      </c>
      <c r="AA40" s="5">
        <v>41297</v>
      </c>
      <c r="AB40" s="4">
        <v>7</v>
      </c>
      <c r="AC40" s="6">
        <v>0</v>
      </c>
      <c r="AD40" s="4">
        <v>1000</v>
      </c>
      <c r="AE40" s="4">
        <v>0</v>
      </c>
      <c r="AH40" s="4" t="s">
        <v>42</v>
      </c>
      <c r="AI40" s="5">
        <v>41282</v>
      </c>
      <c r="AJ40" s="4">
        <v>14</v>
      </c>
      <c r="AK40" s="6">
        <v>0.39</v>
      </c>
      <c r="AL40" s="4">
        <v>1000</v>
      </c>
      <c r="AM40" s="4">
        <v>419</v>
      </c>
      <c r="AP40" s="4" t="s">
        <v>42</v>
      </c>
      <c r="AQ40" s="5">
        <v>41289</v>
      </c>
      <c r="AR40" s="4">
        <v>21</v>
      </c>
      <c r="AS40" s="6">
        <v>0.03</v>
      </c>
      <c r="AT40" s="4">
        <v>1000</v>
      </c>
      <c r="AU40" s="4">
        <v>23</v>
      </c>
      <c r="AX40" s="4" t="s">
        <v>42</v>
      </c>
      <c r="AY40" s="5">
        <v>41278</v>
      </c>
      <c r="AZ40" s="4">
        <v>14</v>
      </c>
      <c r="BA40" s="6">
        <v>0.02</v>
      </c>
      <c r="BB40" s="4">
        <v>2000</v>
      </c>
      <c r="BC40" s="4">
        <v>21</v>
      </c>
      <c r="BF40" s="4" t="s">
        <v>42</v>
      </c>
      <c r="BG40" s="5">
        <v>41281</v>
      </c>
      <c r="BH40" s="4">
        <v>21</v>
      </c>
      <c r="BI40" s="6">
        <v>0.61</v>
      </c>
      <c r="BJ40" s="4">
        <v>4000</v>
      </c>
      <c r="BK40" s="4">
        <v>2432</v>
      </c>
      <c r="BN40" s="4" t="s">
        <v>42</v>
      </c>
      <c r="BO40" s="5">
        <v>41299</v>
      </c>
      <c r="BP40" s="4">
        <v>21</v>
      </c>
      <c r="BQ40" s="6">
        <v>0</v>
      </c>
      <c r="BR40" s="4">
        <v>5000</v>
      </c>
      <c r="BS40" s="4">
        <v>0</v>
      </c>
      <c r="BV40" s="4" t="s">
        <v>42</v>
      </c>
      <c r="BW40" s="5">
        <v>41275</v>
      </c>
      <c r="BX40" s="4">
        <v>21</v>
      </c>
      <c r="BY40" s="6">
        <v>0.55000000000000004</v>
      </c>
      <c r="BZ40" s="4">
        <v>2000</v>
      </c>
      <c r="CA40" s="4">
        <v>765</v>
      </c>
    </row>
    <row r="41" spans="2:79" x14ac:dyDescent="0.3">
      <c r="B41" s="4" t="s">
        <v>43</v>
      </c>
      <c r="C41" s="5">
        <v>41283</v>
      </c>
      <c r="D41" s="4">
        <v>7</v>
      </c>
      <c r="E41" s="6">
        <v>0</v>
      </c>
      <c r="F41" s="4">
        <v>3000</v>
      </c>
      <c r="G41" s="4">
        <v>0</v>
      </c>
      <c r="J41" s="4" t="s">
        <v>43</v>
      </c>
      <c r="K41" s="5">
        <v>41326</v>
      </c>
      <c r="L41" s="4">
        <v>14</v>
      </c>
      <c r="M41" s="6">
        <v>0.21</v>
      </c>
      <c r="N41" s="4">
        <v>5000</v>
      </c>
      <c r="O41" s="4">
        <v>559</v>
      </c>
      <c r="Z41" s="4" t="s">
        <v>43</v>
      </c>
      <c r="AA41" s="5">
        <v>41316</v>
      </c>
      <c r="AB41" s="4">
        <v>14</v>
      </c>
      <c r="AC41" s="6">
        <v>0.41</v>
      </c>
      <c r="AD41" s="4">
        <v>5000</v>
      </c>
      <c r="AE41" s="4">
        <v>912</v>
      </c>
      <c r="AH41" s="4" t="s">
        <v>43</v>
      </c>
      <c r="AI41" s="5">
        <v>41297</v>
      </c>
      <c r="AJ41" s="4">
        <v>7</v>
      </c>
      <c r="AK41" s="6">
        <v>0.3</v>
      </c>
      <c r="AL41" s="4">
        <v>5000</v>
      </c>
      <c r="AM41" s="4">
        <v>681</v>
      </c>
      <c r="AP41" s="4" t="s">
        <v>43</v>
      </c>
      <c r="AQ41" s="5">
        <v>41299</v>
      </c>
      <c r="AR41" s="4">
        <v>14</v>
      </c>
      <c r="AS41" s="6">
        <v>0.15</v>
      </c>
      <c r="AT41" s="4">
        <v>2000</v>
      </c>
      <c r="AU41" s="4">
        <v>82</v>
      </c>
      <c r="AX41" s="4" t="s">
        <v>43</v>
      </c>
      <c r="AY41" s="5">
        <v>41289</v>
      </c>
      <c r="AZ41" s="4">
        <v>14</v>
      </c>
      <c r="BA41" s="6">
        <v>0.64</v>
      </c>
      <c r="BB41" s="4">
        <v>3000</v>
      </c>
      <c r="BC41" s="4">
        <v>1149</v>
      </c>
      <c r="BF41" s="4" t="s">
        <v>43</v>
      </c>
      <c r="BG41" s="5">
        <v>41290</v>
      </c>
      <c r="BH41" s="4">
        <v>14</v>
      </c>
      <c r="BI41" s="6">
        <v>0</v>
      </c>
      <c r="BJ41" s="4">
        <v>3000</v>
      </c>
      <c r="BK41" s="4">
        <v>0</v>
      </c>
      <c r="BN41" s="4" t="s">
        <v>43</v>
      </c>
      <c r="BO41" s="5">
        <v>41318</v>
      </c>
      <c r="BP41" s="4">
        <v>7</v>
      </c>
      <c r="BQ41" s="6">
        <v>0</v>
      </c>
      <c r="BR41" s="4">
        <v>5000</v>
      </c>
      <c r="BS41" s="4">
        <v>0</v>
      </c>
      <c r="BV41" s="4" t="s">
        <v>43</v>
      </c>
      <c r="BW41" s="5">
        <v>41288</v>
      </c>
      <c r="BX41" s="4">
        <v>14</v>
      </c>
      <c r="BY41" s="6">
        <v>0.19</v>
      </c>
      <c r="BZ41" s="4">
        <v>3000</v>
      </c>
      <c r="CA41" s="4">
        <v>81</v>
      </c>
    </row>
    <row r="42" spans="2:79" x14ac:dyDescent="0.3">
      <c r="B42" s="4" t="s">
        <v>44</v>
      </c>
      <c r="C42" s="5">
        <v>41299</v>
      </c>
      <c r="D42" s="4">
        <v>14</v>
      </c>
      <c r="E42" s="6">
        <v>0</v>
      </c>
      <c r="F42" s="4">
        <v>4000</v>
      </c>
      <c r="G42" s="4">
        <v>0</v>
      </c>
      <c r="J42" s="4" t="s">
        <v>44</v>
      </c>
      <c r="K42" s="5">
        <v>41344</v>
      </c>
      <c r="L42" s="4">
        <v>7</v>
      </c>
      <c r="M42" s="6">
        <v>0</v>
      </c>
      <c r="N42" s="4">
        <v>4000</v>
      </c>
      <c r="O42" s="4">
        <v>0</v>
      </c>
      <c r="Z42" s="4" t="s">
        <v>44</v>
      </c>
      <c r="AA42" s="5">
        <v>41334</v>
      </c>
      <c r="AB42" s="4">
        <v>14</v>
      </c>
      <c r="AC42" s="6">
        <v>0</v>
      </c>
      <c r="AD42" s="4">
        <v>4000</v>
      </c>
      <c r="AE42" s="4">
        <v>0</v>
      </c>
      <c r="AH42" s="4" t="s">
        <v>44</v>
      </c>
      <c r="AI42" s="5">
        <v>41309</v>
      </c>
      <c r="AJ42" s="4">
        <v>21</v>
      </c>
      <c r="AK42" s="6">
        <v>0.39</v>
      </c>
      <c r="AL42" s="4">
        <v>3000</v>
      </c>
      <c r="AM42" s="4">
        <v>986</v>
      </c>
      <c r="AP42" s="4" t="s">
        <v>44</v>
      </c>
      <c r="AQ42" s="5">
        <v>41317</v>
      </c>
      <c r="AR42" s="4">
        <v>7</v>
      </c>
      <c r="AS42" s="6">
        <v>0</v>
      </c>
      <c r="AT42" s="4">
        <v>3000</v>
      </c>
      <c r="AU42" s="4">
        <v>0</v>
      </c>
      <c r="AX42" s="4" t="s">
        <v>44</v>
      </c>
      <c r="AY42" s="5">
        <v>41309</v>
      </c>
      <c r="AZ42" s="4">
        <v>7</v>
      </c>
      <c r="BA42" s="6">
        <v>0.19</v>
      </c>
      <c r="BB42" s="4">
        <v>2000</v>
      </c>
      <c r="BC42" s="4">
        <v>220</v>
      </c>
      <c r="BF42" s="4" t="s">
        <v>44</v>
      </c>
      <c r="BG42" s="5">
        <v>41299</v>
      </c>
      <c r="BH42" s="4">
        <v>14</v>
      </c>
      <c r="BI42" s="6">
        <v>0</v>
      </c>
      <c r="BJ42" s="4">
        <v>1000</v>
      </c>
      <c r="BK42" s="4">
        <v>0</v>
      </c>
      <c r="BN42" s="4" t="s">
        <v>44</v>
      </c>
      <c r="BO42" s="5">
        <v>41334</v>
      </c>
      <c r="BP42" s="4">
        <v>14</v>
      </c>
      <c r="BQ42" s="6">
        <v>0</v>
      </c>
      <c r="BR42" s="4">
        <v>5000</v>
      </c>
      <c r="BS42" s="4">
        <v>0</v>
      </c>
      <c r="BV42" s="4" t="s">
        <v>44</v>
      </c>
      <c r="BW42" s="5">
        <v>41302</v>
      </c>
      <c r="BX42" s="4">
        <v>7</v>
      </c>
      <c r="BY42" s="6">
        <v>0</v>
      </c>
      <c r="BZ42" s="4">
        <v>1000</v>
      </c>
      <c r="CA42" s="4">
        <v>0</v>
      </c>
    </row>
    <row r="43" spans="2:79" x14ac:dyDescent="0.3">
      <c r="B43" s="4" t="s">
        <v>45</v>
      </c>
      <c r="C43" s="5">
        <v>41310</v>
      </c>
      <c r="D43" s="4">
        <v>14</v>
      </c>
      <c r="E43" s="6">
        <v>0</v>
      </c>
      <c r="F43" s="4">
        <v>1000</v>
      </c>
      <c r="G43" s="4">
        <v>0</v>
      </c>
      <c r="J43" s="4" t="s">
        <v>45</v>
      </c>
      <c r="K43" s="5">
        <v>41359</v>
      </c>
      <c r="L43" s="4">
        <v>21</v>
      </c>
      <c r="M43" s="6">
        <v>0.24</v>
      </c>
      <c r="N43" s="4">
        <v>4000</v>
      </c>
      <c r="O43" s="4">
        <v>261</v>
      </c>
      <c r="Z43" s="4" t="s">
        <v>45</v>
      </c>
      <c r="AA43" s="5">
        <v>41346</v>
      </c>
      <c r="AB43" s="4">
        <v>14</v>
      </c>
      <c r="AC43" s="6">
        <v>0.5</v>
      </c>
      <c r="AD43" s="4">
        <v>3000</v>
      </c>
      <c r="AE43" s="4">
        <v>1027</v>
      </c>
      <c r="AH43" s="4" t="s">
        <v>45</v>
      </c>
      <c r="AI43" s="5">
        <v>41327</v>
      </c>
      <c r="AJ43" s="4">
        <v>14</v>
      </c>
      <c r="AK43" s="6">
        <v>0.01</v>
      </c>
      <c r="AL43" s="4">
        <v>1000</v>
      </c>
      <c r="AM43" s="4">
        <v>11</v>
      </c>
      <c r="AP43" s="4" t="s">
        <v>45</v>
      </c>
      <c r="AQ43" s="5">
        <v>41333</v>
      </c>
      <c r="AR43" s="4">
        <v>7</v>
      </c>
      <c r="AS43" s="6">
        <v>0.34</v>
      </c>
      <c r="AT43" s="4">
        <v>4000</v>
      </c>
      <c r="AU43" s="4">
        <v>153</v>
      </c>
      <c r="AX43" s="4" t="s">
        <v>45</v>
      </c>
      <c r="AY43" s="5">
        <v>41324</v>
      </c>
      <c r="AZ43" s="4">
        <v>21</v>
      </c>
      <c r="BA43" s="6">
        <v>0</v>
      </c>
      <c r="BB43" s="4">
        <v>4000</v>
      </c>
      <c r="BC43" s="4">
        <v>0</v>
      </c>
      <c r="BF43" s="4" t="s">
        <v>45</v>
      </c>
      <c r="BG43" s="5">
        <v>41313</v>
      </c>
      <c r="BH43" s="4">
        <v>21</v>
      </c>
      <c r="BI43" s="6">
        <v>0.59</v>
      </c>
      <c r="BJ43" s="4">
        <v>1000</v>
      </c>
      <c r="BK43" s="4">
        <v>511</v>
      </c>
      <c r="BN43" s="4" t="s">
        <v>45</v>
      </c>
      <c r="BO43" s="5">
        <v>41347</v>
      </c>
      <c r="BP43" s="4">
        <v>21</v>
      </c>
      <c r="BQ43" s="6">
        <v>0.42</v>
      </c>
      <c r="BR43" s="4">
        <v>2000</v>
      </c>
      <c r="BS43" s="4">
        <v>125</v>
      </c>
      <c r="BV43" s="4" t="s">
        <v>45</v>
      </c>
      <c r="BW43" s="5">
        <v>41313</v>
      </c>
      <c r="BX43" s="4">
        <v>7</v>
      </c>
      <c r="BY43" s="6">
        <v>0.42</v>
      </c>
      <c r="BZ43" s="4">
        <v>2000</v>
      </c>
      <c r="CA43" s="4">
        <v>205</v>
      </c>
    </row>
    <row r="44" spans="2:79" x14ac:dyDescent="0.3">
      <c r="B44" s="4" t="s">
        <v>46</v>
      </c>
      <c r="C44" s="5">
        <v>41325</v>
      </c>
      <c r="D44" s="4">
        <v>21</v>
      </c>
      <c r="E44" s="6">
        <v>0.02</v>
      </c>
      <c r="F44" s="4">
        <v>3000</v>
      </c>
      <c r="G44" s="4">
        <v>7</v>
      </c>
      <c r="J44" s="4" t="s">
        <v>46</v>
      </c>
      <c r="K44" s="5">
        <v>41376</v>
      </c>
      <c r="L44" s="4">
        <v>14</v>
      </c>
      <c r="M44" s="6">
        <v>0.17</v>
      </c>
      <c r="N44" s="4">
        <v>1000</v>
      </c>
      <c r="O44" s="4">
        <v>109</v>
      </c>
      <c r="Z44" s="4" t="s">
        <v>46</v>
      </c>
      <c r="AA44" s="5">
        <v>41365</v>
      </c>
      <c r="AB44" s="4">
        <v>7</v>
      </c>
      <c r="AC44" s="6">
        <v>0.66</v>
      </c>
      <c r="AD44" s="4">
        <v>3000</v>
      </c>
      <c r="AE44" s="4">
        <v>1450</v>
      </c>
      <c r="AH44" s="4" t="s">
        <v>46</v>
      </c>
      <c r="AI44" s="5">
        <v>41346</v>
      </c>
      <c r="AJ44" s="4">
        <v>7</v>
      </c>
      <c r="AK44" s="6">
        <v>0</v>
      </c>
      <c r="AL44" s="4">
        <v>3000</v>
      </c>
      <c r="AM44" s="4">
        <v>0</v>
      </c>
      <c r="AP44" s="4" t="s">
        <v>46</v>
      </c>
      <c r="AQ44" s="5">
        <v>41345</v>
      </c>
      <c r="AR44" s="4">
        <v>7</v>
      </c>
      <c r="AS44" s="6">
        <v>0.44</v>
      </c>
      <c r="AT44" s="4">
        <v>4000</v>
      </c>
      <c r="AU44" s="4">
        <v>1839</v>
      </c>
      <c r="AX44" s="4" t="s">
        <v>46</v>
      </c>
      <c r="AY44" s="5">
        <v>41344</v>
      </c>
      <c r="AZ44" s="4">
        <v>21</v>
      </c>
      <c r="BA44" s="6">
        <v>0</v>
      </c>
      <c r="BB44" s="4">
        <v>1000</v>
      </c>
      <c r="BC44" s="4">
        <v>0</v>
      </c>
      <c r="BF44" s="4" t="s">
        <v>46</v>
      </c>
      <c r="BG44" s="5">
        <v>41327</v>
      </c>
      <c r="BH44" s="4">
        <v>14</v>
      </c>
      <c r="BI44" s="6">
        <v>0.62</v>
      </c>
      <c r="BJ44" s="4">
        <v>2000</v>
      </c>
      <c r="BK44" s="4">
        <v>1138</v>
      </c>
      <c r="BN44" s="4" t="s">
        <v>46</v>
      </c>
      <c r="BO44" s="5">
        <v>41359</v>
      </c>
      <c r="BP44" s="4">
        <v>7</v>
      </c>
      <c r="BQ44" s="6">
        <v>0</v>
      </c>
      <c r="BR44" s="4">
        <v>1000</v>
      </c>
      <c r="BS44" s="4">
        <v>0</v>
      </c>
      <c r="BV44" s="4" t="s">
        <v>46</v>
      </c>
      <c r="BW44" s="5">
        <v>41326</v>
      </c>
      <c r="BX44" s="4">
        <v>7</v>
      </c>
      <c r="BY44" s="6">
        <v>0</v>
      </c>
      <c r="BZ44" s="4">
        <v>2000</v>
      </c>
      <c r="CA44" s="4">
        <v>0</v>
      </c>
    </row>
    <row r="45" spans="2:79" x14ac:dyDescent="0.3">
      <c r="B45" s="4" t="s">
        <v>47</v>
      </c>
      <c r="C45" s="5">
        <v>41339</v>
      </c>
      <c r="D45" s="4">
        <v>21</v>
      </c>
      <c r="E45" s="6">
        <v>0.42</v>
      </c>
      <c r="F45" s="4">
        <v>2000</v>
      </c>
      <c r="G45" s="4">
        <v>172</v>
      </c>
      <c r="J45" s="4" t="s">
        <v>47</v>
      </c>
      <c r="K45" s="5">
        <v>41396</v>
      </c>
      <c r="L45" s="4">
        <v>14</v>
      </c>
      <c r="M45" s="6">
        <v>0</v>
      </c>
      <c r="N45" s="4">
        <v>4000</v>
      </c>
      <c r="O45" s="4">
        <v>0</v>
      </c>
      <c r="Z45" s="4" t="s">
        <v>47</v>
      </c>
      <c r="AA45" s="5">
        <v>41380</v>
      </c>
      <c r="AB45" s="4">
        <v>7</v>
      </c>
      <c r="AC45" s="6">
        <v>0</v>
      </c>
      <c r="AD45" s="4">
        <v>5000</v>
      </c>
      <c r="AE45" s="4">
        <v>0</v>
      </c>
      <c r="AH45" s="4" t="s">
        <v>47</v>
      </c>
      <c r="AI45" s="5">
        <v>41355</v>
      </c>
      <c r="AJ45" s="4">
        <v>7</v>
      </c>
      <c r="AK45" s="6">
        <v>0</v>
      </c>
      <c r="AL45" s="4">
        <v>1000</v>
      </c>
      <c r="AM45" s="4">
        <v>0</v>
      </c>
      <c r="AP45" s="4" t="s">
        <v>47</v>
      </c>
      <c r="AQ45" s="5">
        <v>41362</v>
      </c>
      <c r="AR45" s="4">
        <v>21</v>
      </c>
      <c r="AS45" s="6">
        <v>0</v>
      </c>
      <c r="AT45" s="4">
        <v>5000</v>
      </c>
      <c r="AU45" s="4">
        <v>0</v>
      </c>
      <c r="AX45" s="4" t="s">
        <v>47</v>
      </c>
      <c r="AY45" s="5">
        <v>41362</v>
      </c>
      <c r="AZ45" s="4">
        <v>14</v>
      </c>
      <c r="BA45" s="6">
        <v>0.33</v>
      </c>
      <c r="BB45" s="4">
        <v>3000</v>
      </c>
      <c r="BC45" s="4">
        <v>8</v>
      </c>
      <c r="BF45" s="4" t="s">
        <v>47</v>
      </c>
      <c r="BG45" s="5">
        <v>41340</v>
      </c>
      <c r="BH45" s="4">
        <v>7</v>
      </c>
      <c r="BI45" s="6">
        <v>0.33</v>
      </c>
      <c r="BJ45" s="4">
        <v>4000</v>
      </c>
      <c r="BK45" s="4">
        <v>1297</v>
      </c>
      <c r="BN45" s="4" t="s">
        <v>47</v>
      </c>
      <c r="BO45" s="5">
        <v>41374</v>
      </c>
      <c r="BP45" s="4">
        <v>7</v>
      </c>
      <c r="BQ45" s="6">
        <v>0</v>
      </c>
      <c r="BR45" s="4">
        <v>3000</v>
      </c>
      <c r="BS45" s="4">
        <v>0</v>
      </c>
      <c r="BV45" s="4" t="s">
        <v>47</v>
      </c>
      <c r="BW45" s="5">
        <v>41340</v>
      </c>
      <c r="BX45" s="4">
        <v>14</v>
      </c>
      <c r="BY45" s="6">
        <v>0.15</v>
      </c>
      <c r="BZ45" s="4">
        <v>4000</v>
      </c>
      <c r="CA45" s="4">
        <v>451</v>
      </c>
    </row>
  </sheetData>
  <pageMargins left="0.7" right="0.7" top="0.75" bottom="0.75" header="0.3" footer="0.3"/>
  <pageSetup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0.39997558519241921"/>
  </sheetPr>
  <dimension ref="B1:O28"/>
  <sheetViews>
    <sheetView showGridLines="0" workbookViewId="0"/>
  </sheetViews>
  <sheetFormatPr defaultRowHeight="15.75" x14ac:dyDescent="0.3"/>
  <cols>
    <col min="1" max="1" width="2.88671875" customWidth="1"/>
    <col min="2" max="2" width="5.109375" customWidth="1"/>
    <col min="3" max="3" width="15.88671875" customWidth="1"/>
    <col min="4" max="5" width="33.6640625" customWidth="1"/>
    <col min="6" max="6" width="10.44140625" customWidth="1"/>
    <col min="7" max="8" width="1.88671875" customWidth="1"/>
    <col min="9" max="9" width="5.109375" customWidth="1"/>
    <col min="10" max="10" width="15.88671875" customWidth="1"/>
    <col min="11" max="11" width="33.6640625" customWidth="1"/>
    <col min="12" max="12" width="13.44140625" customWidth="1"/>
    <col min="13" max="13" width="11.88671875" customWidth="1"/>
    <col min="14" max="14" width="11.44140625" customWidth="1"/>
  </cols>
  <sheetData>
    <row r="1" spans="2:15" ht="49.5" customHeight="1" x14ac:dyDescent="0.3"/>
    <row r="2" spans="2:15" x14ac:dyDescent="0.3">
      <c r="B2" t="s">
        <v>93</v>
      </c>
      <c r="F2" t="s">
        <v>101</v>
      </c>
      <c r="I2" t="s">
        <v>98</v>
      </c>
      <c r="M2" t="s">
        <v>101</v>
      </c>
    </row>
    <row r="3" spans="2:15" x14ac:dyDescent="0.3">
      <c r="B3" s="11" t="s">
        <v>48</v>
      </c>
      <c r="C3" s="11" t="s">
        <v>95</v>
      </c>
      <c r="D3" s="11" t="s">
        <v>96</v>
      </c>
      <c r="E3" s="11" t="s">
        <v>97</v>
      </c>
      <c r="F3" s="14" t="s">
        <v>72</v>
      </c>
      <c r="I3" s="11" t="s">
        <v>48</v>
      </c>
      <c r="J3" s="11" t="s">
        <v>95</v>
      </c>
      <c r="K3" s="11" t="s">
        <v>94</v>
      </c>
      <c r="L3" s="11" t="s">
        <v>99</v>
      </c>
      <c r="M3" s="14" t="s">
        <v>100</v>
      </c>
      <c r="N3" s="11" t="s">
        <v>73</v>
      </c>
      <c r="O3" s="25" t="s">
        <v>125</v>
      </c>
    </row>
    <row r="4" spans="2:15" x14ac:dyDescent="0.3">
      <c r="B4" s="12">
        <v>1</v>
      </c>
      <c r="C4" s="11" t="s">
        <v>55</v>
      </c>
      <c r="D4" s="11" t="s">
        <v>304</v>
      </c>
      <c r="E4" s="11" t="s">
        <v>305</v>
      </c>
      <c r="F4" s="14">
        <v>1</v>
      </c>
      <c r="I4" s="12">
        <v>1</v>
      </c>
      <c r="J4" s="11" t="s">
        <v>52</v>
      </c>
      <c r="K4" s="11" t="s">
        <v>306</v>
      </c>
      <c r="L4" s="11" t="s">
        <v>89</v>
      </c>
      <c r="M4" s="14">
        <v>2</v>
      </c>
      <c r="N4" s="13" t="s">
        <v>305</v>
      </c>
      <c r="O4" s="25" t="s">
        <v>305</v>
      </c>
    </row>
    <row r="5" spans="2:15" x14ac:dyDescent="0.3">
      <c r="B5" s="12">
        <v>2</v>
      </c>
      <c r="C5" s="11" t="s">
        <v>52</v>
      </c>
      <c r="D5" s="11" t="s">
        <v>307</v>
      </c>
      <c r="E5" s="11" t="s">
        <v>305</v>
      </c>
      <c r="F5" s="14">
        <v>1</v>
      </c>
      <c r="I5" s="12">
        <v>2</v>
      </c>
      <c r="J5" s="11" t="s">
        <v>50</v>
      </c>
      <c r="K5" s="11" t="s">
        <v>306</v>
      </c>
      <c r="L5" s="11" t="s">
        <v>89</v>
      </c>
      <c r="M5" s="14">
        <v>3</v>
      </c>
      <c r="N5" s="13">
        <v>41248</v>
      </c>
      <c r="O5" s="25" t="s">
        <v>305</v>
      </c>
    </row>
    <row r="6" spans="2:15" x14ac:dyDescent="0.3">
      <c r="B6" s="12">
        <v>3</v>
      </c>
      <c r="C6" s="11" t="s">
        <v>56</v>
      </c>
      <c r="D6" s="11" t="s">
        <v>308</v>
      </c>
      <c r="E6" s="11" t="s">
        <v>309</v>
      </c>
      <c r="F6" s="14">
        <v>4</v>
      </c>
      <c r="I6" s="12">
        <v>3</v>
      </c>
      <c r="J6" s="11" t="s">
        <v>53</v>
      </c>
      <c r="K6" s="11" t="s">
        <v>310</v>
      </c>
      <c r="L6" s="11" t="s">
        <v>79</v>
      </c>
      <c r="M6" s="14">
        <v>3</v>
      </c>
      <c r="N6" s="13">
        <v>41243</v>
      </c>
      <c r="O6" s="25" t="s">
        <v>305</v>
      </c>
    </row>
    <row r="7" spans="2:15" x14ac:dyDescent="0.3">
      <c r="B7" s="12">
        <v>4</v>
      </c>
      <c r="C7" s="11" t="s">
        <v>57</v>
      </c>
      <c r="D7" s="11" t="s">
        <v>311</v>
      </c>
      <c r="E7" s="11" t="s">
        <v>305</v>
      </c>
      <c r="F7" s="14">
        <v>5</v>
      </c>
      <c r="I7" s="12">
        <v>4</v>
      </c>
      <c r="J7" s="11" t="s">
        <v>52</v>
      </c>
      <c r="K7" s="11" t="s">
        <v>312</v>
      </c>
      <c r="L7" s="11" t="s">
        <v>88</v>
      </c>
      <c r="M7" s="14">
        <v>2</v>
      </c>
      <c r="N7" s="13">
        <v>41247</v>
      </c>
      <c r="O7" s="25" t="s">
        <v>305</v>
      </c>
    </row>
    <row r="8" spans="2:15" x14ac:dyDescent="0.3">
      <c r="B8" s="12">
        <v>5</v>
      </c>
      <c r="C8" s="11" t="s">
        <v>53</v>
      </c>
      <c r="D8" s="11" t="s">
        <v>311</v>
      </c>
      <c r="E8" s="11" t="s">
        <v>305</v>
      </c>
      <c r="F8" s="14">
        <v>5</v>
      </c>
      <c r="I8" s="12">
        <v>5</v>
      </c>
      <c r="J8" s="11" t="s">
        <v>53</v>
      </c>
      <c r="K8" s="11" t="s">
        <v>306</v>
      </c>
      <c r="L8" s="11" t="s">
        <v>79</v>
      </c>
      <c r="M8" s="14">
        <v>5</v>
      </c>
      <c r="N8" s="13">
        <v>41249</v>
      </c>
      <c r="O8" s="25" t="s">
        <v>305</v>
      </c>
    </row>
    <row r="9" spans="2:15" x14ac:dyDescent="0.3">
      <c r="B9" s="12">
        <v>6</v>
      </c>
      <c r="C9" s="11" t="s">
        <v>57</v>
      </c>
      <c r="D9" s="11" t="s">
        <v>311</v>
      </c>
      <c r="E9" s="11" t="s">
        <v>309</v>
      </c>
      <c r="F9" s="14">
        <v>3</v>
      </c>
      <c r="I9" s="12">
        <v>6</v>
      </c>
      <c r="J9" s="11" t="s">
        <v>56</v>
      </c>
      <c r="K9" s="11" t="s">
        <v>310</v>
      </c>
      <c r="L9" s="11" t="s">
        <v>88</v>
      </c>
      <c r="M9" s="14">
        <v>5</v>
      </c>
      <c r="N9" s="13">
        <v>41247</v>
      </c>
      <c r="O9" s="25" t="s">
        <v>313</v>
      </c>
    </row>
    <row r="10" spans="2:15" x14ac:dyDescent="0.3">
      <c r="B10" s="12">
        <v>7</v>
      </c>
      <c r="C10" s="11" t="s">
        <v>54</v>
      </c>
      <c r="D10" s="11" t="s">
        <v>311</v>
      </c>
      <c r="E10" s="11" t="s">
        <v>305</v>
      </c>
      <c r="F10" s="14">
        <v>1</v>
      </c>
      <c r="I10" s="12">
        <v>7</v>
      </c>
      <c r="J10" s="11" t="s">
        <v>54</v>
      </c>
      <c r="K10" s="11" t="s">
        <v>314</v>
      </c>
      <c r="L10" s="11" t="s">
        <v>87</v>
      </c>
      <c r="M10" s="14">
        <v>2</v>
      </c>
      <c r="N10" s="13" t="s">
        <v>305</v>
      </c>
      <c r="O10" s="25" t="s">
        <v>305</v>
      </c>
    </row>
    <row r="11" spans="2:15" x14ac:dyDescent="0.3">
      <c r="B11" s="12">
        <v>8</v>
      </c>
      <c r="C11" s="11" t="s">
        <v>50</v>
      </c>
      <c r="D11" s="11" t="s">
        <v>304</v>
      </c>
      <c r="E11" s="11" t="s">
        <v>305</v>
      </c>
      <c r="F11" s="14">
        <v>3</v>
      </c>
      <c r="I11" s="12">
        <v>8</v>
      </c>
      <c r="J11" s="11" t="s">
        <v>52</v>
      </c>
      <c r="K11" s="11" t="s">
        <v>315</v>
      </c>
      <c r="L11" s="11" t="s">
        <v>88</v>
      </c>
      <c r="M11" s="14">
        <v>3</v>
      </c>
      <c r="N11" s="13">
        <v>41243</v>
      </c>
      <c r="O11" s="25" t="s">
        <v>305</v>
      </c>
    </row>
    <row r="12" spans="2:15" x14ac:dyDescent="0.3">
      <c r="B12" s="12">
        <v>9</v>
      </c>
      <c r="C12" s="11" t="s">
        <v>55</v>
      </c>
      <c r="D12" s="11" t="s">
        <v>311</v>
      </c>
      <c r="E12" s="11" t="s">
        <v>305</v>
      </c>
      <c r="F12" s="14">
        <v>5</v>
      </c>
      <c r="I12" s="12">
        <v>9</v>
      </c>
      <c r="J12" s="11" t="s">
        <v>56</v>
      </c>
      <c r="K12" s="11" t="s">
        <v>312</v>
      </c>
      <c r="L12" s="11" t="s">
        <v>88</v>
      </c>
      <c r="M12" s="14">
        <v>5</v>
      </c>
      <c r="N12" s="13">
        <v>41243</v>
      </c>
      <c r="O12" s="25" t="s">
        <v>305</v>
      </c>
    </row>
    <row r="13" spans="2:15" x14ac:dyDescent="0.3">
      <c r="B13" s="12">
        <v>10</v>
      </c>
      <c r="C13" s="11" t="s">
        <v>55</v>
      </c>
      <c r="D13" s="11" t="s">
        <v>311</v>
      </c>
      <c r="E13" s="11" t="s">
        <v>305</v>
      </c>
      <c r="F13" s="14">
        <v>3</v>
      </c>
      <c r="I13" s="12">
        <v>10</v>
      </c>
      <c r="J13" s="11" t="s">
        <v>53</v>
      </c>
      <c r="K13" s="11" t="s">
        <v>306</v>
      </c>
      <c r="L13" s="11" t="s">
        <v>91</v>
      </c>
      <c r="M13" s="14">
        <v>4</v>
      </c>
      <c r="N13" s="13" t="s">
        <v>305</v>
      </c>
      <c r="O13" s="25" t="s">
        <v>305</v>
      </c>
    </row>
    <row r="14" spans="2:15" x14ac:dyDescent="0.3">
      <c r="B14" s="12">
        <v>11</v>
      </c>
      <c r="C14" s="11" t="s">
        <v>55</v>
      </c>
      <c r="D14" s="11" t="s">
        <v>311</v>
      </c>
      <c r="E14" s="11" t="s">
        <v>305</v>
      </c>
      <c r="F14" s="14">
        <v>3</v>
      </c>
      <c r="I14" s="12">
        <v>11</v>
      </c>
      <c r="J14" s="11" t="s">
        <v>52</v>
      </c>
      <c r="K14" s="11" t="s">
        <v>315</v>
      </c>
      <c r="L14" s="11" t="s">
        <v>77</v>
      </c>
      <c r="M14" s="14">
        <v>4</v>
      </c>
      <c r="N14" s="13">
        <v>41246</v>
      </c>
      <c r="O14" s="25" t="s">
        <v>305</v>
      </c>
    </row>
    <row r="15" spans="2:15" x14ac:dyDescent="0.3">
      <c r="B15" s="12">
        <v>12</v>
      </c>
      <c r="C15" s="11" t="s">
        <v>54</v>
      </c>
      <c r="D15" s="11" t="s">
        <v>316</v>
      </c>
      <c r="E15" s="11" t="s">
        <v>305</v>
      </c>
      <c r="F15" s="14">
        <v>2</v>
      </c>
      <c r="I15" s="12">
        <v>12</v>
      </c>
      <c r="J15" s="11" t="s">
        <v>54</v>
      </c>
      <c r="K15" s="11" t="s">
        <v>315</v>
      </c>
      <c r="L15" s="11" t="s">
        <v>86</v>
      </c>
      <c r="M15" s="14">
        <v>5</v>
      </c>
      <c r="N15" s="13">
        <v>41242</v>
      </c>
      <c r="O15" s="25" t="s">
        <v>305</v>
      </c>
    </row>
    <row r="16" spans="2:15" x14ac:dyDescent="0.3">
      <c r="B16" s="12">
        <v>13</v>
      </c>
      <c r="C16" s="11" t="s">
        <v>57</v>
      </c>
      <c r="D16" s="11" t="s">
        <v>311</v>
      </c>
      <c r="E16" s="11" t="s">
        <v>305</v>
      </c>
      <c r="F16" s="14">
        <v>2</v>
      </c>
      <c r="I16" s="12">
        <v>13</v>
      </c>
      <c r="J16" s="11" t="s">
        <v>50</v>
      </c>
      <c r="K16" s="11" t="s">
        <v>312</v>
      </c>
      <c r="L16" s="11" t="s">
        <v>81</v>
      </c>
      <c r="M16" s="14">
        <v>4</v>
      </c>
      <c r="N16" s="13">
        <v>41246</v>
      </c>
      <c r="O16" s="25" t="s">
        <v>305</v>
      </c>
    </row>
    <row r="17" spans="2:15" x14ac:dyDescent="0.3">
      <c r="B17" s="12">
        <v>14</v>
      </c>
      <c r="C17" s="11" t="s">
        <v>56</v>
      </c>
      <c r="D17" s="11" t="s">
        <v>308</v>
      </c>
      <c r="E17" s="11" t="s">
        <v>305</v>
      </c>
      <c r="F17" s="14">
        <v>5</v>
      </c>
      <c r="I17" s="12">
        <v>14</v>
      </c>
      <c r="J17" s="11" t="s">
        <v>54</v>
      </c>
      <c r="K17" s="11" t="s">
        <v>315</v>
      </c>
      <c r="L17" s="11" t="s">
        <v>89</v>
      </c>
      <c r="M17" s="14">
        <v>1</v>
      </c>
      <c r="N17" s="13" t="s">
        <v>305</v>
      </c>
      <c r="O17" s="25" t="s">
        <v>305</v>
      </c>
    </row>
    <row r="18" spans="2:15" x14ac:dyDescent="0.3">
      <c r="B18" s="12">
        <v>15</v>
      </c>
      <c r="C18" s="11" t="s">
        <v>55</v>
      </c>
      <c r="D18" s="11" t="s">
        <v>311</v>
      </c>
      <c r="E18" s="11" t="s">
        <v>305</v>
      </c>
      <c r="F18" s="14">
        <v>5</v>
      </c>
      <c r="I18" s="12">
        <v>15</v>
      </c>
      <c r="J18" s="11" t="s">
        <v>50</v>
      </c>
      <c r="K18" s="11" t="s">
        <v>306</v>
      </c>
      <c r="L18" s="11" t="s">
        <v>90</v>
      </c>
      <c r="M18" s="14">
        <v>3</v>
      </c>
      <c r="N18" s="13">
        <v>41246</v>
      </c>
      <c r="O18" s="25" t="s">
        <v>305</v>
      </c>
    </row>
    <row r="19" spans="2:15" x14ac:dyDescent="0.3">
      <c r="B19" s="12">
        <v>16</v>
      </c>
      <c r="C19" s="11" t="s">
        <v>50</v>
      </c>
      <c r="D19" s="11" t="s">
        <v>308</v>
      </c>
      <c r="E19" s="11" t="s">
        <v>305</v>
      </c>
      <c r="F19" s="14">
        <v>1</v>
      </c>
      <c r="I19" s="12">
        <v>16</v>
      </c>
      <c r="J19" s="11" t="s">
        <v>50</v>
      </c>
      <c r="K19" s="11" t="s">
        <v>306</v>
      </c>
      <c r="L19" s="11" t="s">
        <v>83</v>
      </c>
      <c r="M19" s="14">
        <v>3</v>
      </c>
      <c r="N19" s="13">
        <v>41248</v>
      </c>
      <c r="O19" s="25" t="s">
        <v>305</v>
      </c>
    </row>
    <row r="20" spans="2:15" x14ac:dyDescent="0.3">
      <c r="B20" s="12">
        <v>17</v>
      </c>
      <c r="C20" s="11" t="s">
        <v>57</v>
      </c>
      <c r="D20" s="11" t="s">
        <v>304</v>
      </c>
      <c r="E20" s="11" t="s">
        <v>305</v>
      </c>
      <c r="F20" s="14">
        <v>2</v>
      </c>
      <c r="I20" s="12">
        <v>17</v>
      </c>
      <c r="J20" s="11" t="s">
        <v>53</v>
      </c>
      <c r="K20" s="11" t="s">
        <v>306</v>
      </c>
      <c r="L20" s="11" t="s">
        <v>84</v>
      </c>
      <c r="M20" s="14">
        <v>1</v>
      </c>
      <c r="N20" s="13" t="s">
        <v>305</v>
      </c>
      <c r="O20" s="25" t="s">
        <v>305</v>
      </c>
    </row>
    <row r="21" spans="2:15" x14ac:dyDescent="0.3">
      <c r="B21" s="12">
        <v>18</v>
      </c>
      <c r="C21" s="11" t="s">
        <v>55</v>
      </c>
      <c r="D21" s="11" t="s">
        <v>317</v>
      </c>
      <c r="E21" s="11" t="s">
        <v>309</v>
      </c>
      <c r="F21" s="14">
        <v>1</v>
      </c>
      <c r="I21" s="12">
        <v>18</v>
      </c>
      <c r="J21" s="11" t="s">
        <v>51</v>
      </c>
      <c r="K21" s="11" t="s">
        <v>315</v>
      </c>
      <c r="L21" s="11" t="s">
        <v>89</v>
      </c>
      <c r="M21" s="14">
        <v>4</v>
      </c>
      <c r="N21" s="13">
        <v>41249</v>
      </c>
      <c r="O21" s="25" t="s">
        <v>305</v>
      </c>
    </row>
    <row r="22" spans="2:15" x14ac:dyDescent="0.3">
      <c r="B22" s="12">
        <v>19</v>
      </c>
      <c r="C22" s="11" t="s">
        <v>57</v>
      </c>
      <c r="D22" s="11" t="s">
        <v>307</v>
      </c>
      <c r="E22" s="11" t="s">
        <v>305</v>
      </c>
      <c r="F22" s="14">
        <v>3</v>
      </c>
      <c r="I22" s="12">
        <v>19</v>
      </c>
      <c r="J22" s="11" t="s">
        <v>50</v>
      </c>
      <c r="K22" s="11" t="s">
        <v>306</v>
      </c>
      <c r="L22" s="11" t="s">
        <v>86</v>
      </c>
      <c r="M22" s="14">
        <v>3</v>
      </c>
      <c r="N22" s="13">
        <v>41250</v>
      </c>
      <c r="O22" s="25" t="s">
        <v>305</v>
      </c>
    </row>
    <row r="23" spans="2:15" x14ac:dyDescent="0.3">
      <c r="B23" s="12">
        <v>20</v>
      </c>
      <c r="C23" s="11" t="s">
        <v>52</v>
      </c>
      <c r="D23" s="11" t="s">
        <v>307</v>
      </c>
      <c r="E23" s="11" t="s">
        <v>305</v>
      </c>
      <c r="F23" s="14">
        <v>5</v>
      </c>
      <c r="I23" s="12">
        <v>20</v>
      </c>
      <c r="J23" s="11" t="s">
        <v>55</v>
      </c>
      <c r="K23" s="11" t="s">
        <v>312</v>
      </c>
      <c r="L23" s="11" t="s">
        <v>84</v>
      </c>
      <c r="M23" s="14">
        <v>4</v>
      </c>
      <c r="N23" s="13">
        <v>41246</v>
      </c>
      <c r="O23" s="25" t="s">
        <v>305</v>
      </c>
    </row>
    <row r="24" spans="2:15" x14ac:dyDescent="0.3">
      <c r="B24" s="12">
        <v>21</v>
      </c>
      <c r="C24" s="11" t="s">
        <v>51</v>
      </c>
      <c r="D24" s="11" t="s">
        <v>307</v>
      </c>
      <c r="E24" s="11" t="s">
        <v>305</v>
      </c>
      <c r="F24" s="14">
        <v>3</v>
      </c>
      <c r="I24" s="12">
        <v>21</v>
      </c>
      <c r="J24" s="11" t="s">
        <v>54</v>
      </c>
      <c r="K24" s="11" t="s">
        <v>315</v>
      </c>
      <c r="L24" s="11" t="s">
        <v>92</v>
      </c>
      <c r="M24" s="14">
        <v>3</v>
      </c>
      <c r="N24" s="13">
        <v>41246</v>
      </c>
      <c r="O24" s="25" t="s">
        <v>313</v>
      </c>
    </row>
    <row r="25" spans="2:15" x14ac:dyDescent="0.3">
      <c r="B25" s="12">
        <v>22</v>
      </c>
      <c r="C25" s="11" t="s">
        <v>53</v>
      </c>
      <c r="D25" s="11" t="s">
        <v>308</v>
      </c>
      <c r="E25" s="11" t="s">
        <v>305</v>
      </c>
      <c r="F25" s="14">
        <v>2</v>
      </c>
      <c r="I25" s="12">
        <v>22</v>
      </c>
      <c r="J25" s="11" t="s">
        <v>56</v>
      </c>
      <c r="K25" s="11" t="s">
        <v>314</v>
      </c>
      <c r="L25" s="11" t="s">
        <v>78</v>
      </c>
      <c r="M25" s="14">
        <v>3</v>
      </c>
      <c r="N25" s="13">
        <v>41241</v>
      </c>
      <c r="O25" s="25" t="s">
        <v>305</v>
      </c>
    </row>
    <row r="26" spans="2:15" x14ac:dyDescent="0.3">
      <c r="B26" s="12">
        <v>23</v>
      </c>
      <c r="C26" s="11" t="s">
        <v>53</v>
      </c>
      <c r="D26" s="11" t="s">
        <v>311</v>
      </c>
      <c r="E26" s="11" t="s">
        <v>305</v>
      </c>
      <c r="F26" s="14">
        <v>3</v>
      </c>
      <c r="I26" s="12">
        <v>23</v>
      </c>
      <c r="J26" s="11" t="s">
        <v>50</v>
      </c>
      <c r="K26" s="11" t="s">
        <v>306</v>
      </c>
      <c r="L26" s="11" t="s">
        <v>83</v>
      </c>
      <c r="M26" s="14">
        <v>4</v>
      </c>
      <c r="N26" s="13" t="s">
        <v>305</v>
      </c>
      <c r="O26" s="25" t="s">
        <v>305</v>
      </c>
    </row>
    <row r="27" spans="2:15" x14ac:dyDescent="0.3">
      <c r="B27" s="12">
        <v>24</v>
      </c>
      <c r="C27" s="11" t="s">
        <v>56</v>
      </c>
      <c r="D27" s="11" t="s">
        <v>304</v>
      </c>
      <c r="E27" s="11" t="s">
        <v>305</v>
      </c>
      <c r="F27" s="14">
        <v>1</v>
      </c>
      <c r="I27" s="12">
        <v>24</v>
      </c>
      <c r="J27" s="11" t="s">
        <v>57</v>
      </c>
      <c r="K27" s="11" t="s">
        <v>310</v>
      </c>
      <c r="L27" s="11" t="s">
        <v>90</v>
      </c>
      <c r="M27" s="14">
        <v>1</v>
      </c>
      <c r="N27" s="13" t="s">
        <v>305</v>
      </c>
      <c r="O27" s="25" t="s">
        <v>305</v>
      </c>
    </row>
    <row r="28" spans="2:15" x14ac:dyDescent="0.3">
      <c r="B28" s="12">
        <v>25</v>
      </c>
      <c r="C28" s="11" t="s">
        <v>55</v>
      </c>
      <c r="D28" s="11" t="s">
        <v>308</v>
      </c>
      <c r="E28" s="11" t="s">
        <v>305</v>
      </c>
      <c r="F28" s="14">
        <v>2</v>
      </c>
      <c r="I28" s="12">
        <v>25</v>
      </c>
      <c r="J28" s="11" t="s">
        <v>56</v>
      </c>
      <c r="K28" s="11" t="s">
        <v>312</v>
      </c>
      <c r="L28" s="11" t="s">
        <v>90</v>
      </c>
      <c r="M28" s="14">
        <v>2</v>
      </c>
      <c r="N28" s="13">
        <v>41249</v>
      </c>
      <c r="O28" s="25" t="s">
        <v>305</v>
      </c>
    </row>
  </sheetData>
  <dataValidations count="2">
    <dataValidation type="list" allowBlank="1" showInputMessage="1" showErrorMessage="1" sqref="C4:C28 J4:J28" xr:uid="{00000000-0002-0000-0400-000000000000}">
      <formula1>lstProjects</formula1>
    </dataValidation>
    <dataValidation type="list" allowBlank="1" showInputMessage="1" showErrorMessage="1" sqref="L4:L28" xr:uid="{00000000-0002-0000-0400-000001000000}">
      <formula1>lstPeople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0.39997558519241921"/>
  </sheetPr>
  <dimension ref="B1:I11"/>
  <sheetViews>
    <sheetView showGridLines="0" workbookViewId="0">
      <selection activeCell="C6" sqref="C6"/>
    </sheetView>
  </sheetViews>
  <sheetFormatPr defaultRowHeight="15.75" x14ac:dyDescent="0.3"/>
  <cols>
    <col min="1" max="1" width="3.5546875" customWidth="1"/>
    <col min="2" max="2" width="15.109375" customWidth="1"/>
    <col min="3" max="3" width="18.44140625" customWidth="1"/>
    <col min="4" max="4" width="1.6640625" customWidth="1"/>
    <col min="7" max="7" width="1.6640625" customWidth="1"/>
    <col min="9" max="9" width="14.77734375" customWidth="1"/>
  </cols>
  <sheetData>
    <row r="1" spans="2:9" ht="45" customHeight="1" x14ac:dyDescent="0.3"/>
    <row r="4" spans="2:9" ht="33" customHeight="1" x14ac:dyDescent="0.3">
      <c r="B4" s="153" t="s">
        <v>140</v>
      </c>
      <c r="C4" s="154"/>
      <c r="D4" s="155"/>
      <c r="E4" s="191" t="s">
        <v>151</v>
      </c>
      <c r="F4" s="192"/>
      <c r="G4" s="155"/>
      <c r="H4" s="193" t="s">
        <v>236</v>
      </c>
      <c r="I4" s="194"/>
    </row>
    <row r="5" spans="2:9" x14ac:dyDescent="0.3">
      <c r="B5" t="s">
        <v>141</v>
      </c>
      <c r="C5" t="s">
        <v>142</v>
      </c>
      <c r="E5" s="151" t="s">
        <v>149</v>
      </c>
      <c r="F5" s="152">
        <v>0.75</v>
      </c>
      <c r="H5" s="151" t="s">
        <v>75</v>
      </c>
      <c r="I5" s="156" t="s">
        <v>318</v>
      </c>
    </row>
    <row r="6" spans="2:9" x14ac:dyDescent="0.3">
      <c r="B6" s="78">
        <v>40909</v>
      </c>
      <c r="C6" t="s">
        <v>143</v>
      </c>
      <c r="E6" s="150" t="s">
        <v>150</v>
      </c>
      <c r="F6" s="80">
        <v>0.4</v>
      </c>
      <c r="H6" s="150" t="s">
        <v>68</v>
      </c>
      <c r="I6" s="157" t="s">
        <v>319</v>
      </c>
    </row>
    <row r="7" spans="2:9" x14ac:dyDescent="0.3">
      <c r="B7" s="78">
        <v>41268</v>
      </c>
      <c r="C7" t="s">
        <v>144</v>
      </c>
      <c r="H7" s="150" t="s">
        <v>141</v>
      </c>
      <c r="I7" s="158">
        <f ca="1">TODAY()</f>
        <v>44439</v>
      </c>
    </row>
    <row r="8" spans="2:9" x14ac:dyDescent="0.3">
      <c r="B8" s="78">
        <v>41275</v>
      </c>
      <c r="C8" t="s">
        <v>143</v>
      </c>
    </row>
    <row r="9" spans="2:9" x14ac:dyDescent="0.3">
      <c r="B9" s="78">
        <v>41633</v>
      </c>
      <c r="C9" t="s">
        <v>144</v>
      </c>
    </row>
    <row r="10" spans="2:9" x14ac:dyDescent="0.3">
      <c r="B10" s="78">
        <v>41640</v>
      </c>
      <c r="C10" t="s">
        <v>143</v>
      </c>
    </row>
    <row r="11" spans="2:9" x14ac:dyDescent="0.3">
      <c r="B11" s="78">
        <v>41998</v>
      </c>
      <c r="C11" t="s">
        <v>144</v>
      </c>
    </row>
  </sheetData>
  <mergeCells count="2">
    <mergeCell ref="E4:F4"/>
    <mergeCell ref="H4:I4"/>
  </mergeCells>
  <hyperlinks>
    <hyperlink ref="I6" r:id="rId1" xr:uid="{00000000-0004-0000-0500-000000000000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249977111117893"/>
  </sheetPr>
  <dimension ref="A1:O64"/>
  <sheetViews>
    <sheetView showGridLines="0" workbookViewId="0">
      <selection activeCell="Q5" sqref="Q5"/>
    </sheetView>
  </sheetViews>
  <sheetFormatPr defaultRowHeight="15.75" x14ac:dyDescent="0.3"/>
  <cols>
    <col min="1" max="1" width="1.88671875" customWidth="1"/>
    <col min="12" max="12" width="11.44140625" customWidth="1"/>
  </cols>
  <sheetData>
    <row r="1" spans="1:15" ht="33.75" customHeight="1" x14ac:dyDescent="0.3">
      <c r="A1" s="185"/>
      <c r="B1" s="186" t="s">
        <v>245</v>
      </c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</row>
    <row r="2" spans="1:15" x14ac:dyDescent="0.3">
      <c r="J2" s="79">
        <v>20</v>
      </c>
    </row>
    <row r="3" spans="1:15" x14ac:dyDescent="0.3">
      <c r="B3" s="104" t="s">
        <v>188</v>
      </c>
      <c r="I3" s="79" t="s">
        <v>225</v>
      </c>
      <c r="J3" s="79" t="s">
        <v>226</v>
      </c>
    </row>
    <row r="4" spans="1:15" x14ac:dyDescent="0.3">
      <c r="B4" s="79" t="s">
        <v>232</v>
      </c>
      <c r="C4" s="79">
        <v>1</v>
      </c>
      <c r="H4" s="79" t="s">
        <v>223</v>
      </c>
      <c r="I4" s="79" t="str">
        <f>INDEX($C$15:$C$64,MATCH(MAX(H15:H64),H15:H64,0))</f>
        <v>CBM Development</v>
      </c>
      <c r="J4" s="79" t="str">
        <f>"Most: "&amp;LEFT(I4,$J$2)&amp;REPT("…",LEN(I4)&gt;$J$2)</f>
        <v>Most: CBM Development</v>
      </c>
    </row>
    <row r="5" spans="1:15" x14ac:dyDescent="0.3">
      <c r="B5" s="79" t="s">
        <v>189</v>
      </c>
      <c r="C5" s="79">
        <v>1</v>
      </c>
      <c r="H5" s="79" t="s">
        <v>224</v>
      </c>
      <c r="I5" s="79" t="str">
        <f>INDEX($C$15:$C$64,MATCH(MAX(G15:G64),G15:G64,0))</f>
        <v>ABC Integration</v>
      </c>
      <c r="J5" s="79" t="str">
        <f>"Most: "&amp;LEFT(I5,$J$2)&amp;REPT("…",LEN(I5)&gt;$J$2)</f>
        <v>Most: ABC Integration</v>
      </c>
    </row>
    <row r="6" spans="1:15" x14ac:dyDescent="0.3">
      <c r="B6" s="79" t="s">
        <v>222</v>
      </c>
      <c r="C6" s="79">
        <v>0</v>
      </c>
    </row>
    <row r="7" spans="1:15" x14ac:dyDescent="0.3">
      <c r="B7" s="79" t="s">
        <v>220</v>
      </c>
      <c r="C7" s="79">
        <v>0</v>
      </c>
      <c r="H7" s="79" t="str">
        <f>"Showing top "&amp;IF(Calculations!$C$5=0,"5",(Calculations!$C$5+1)&amp;" to "&amp;(Calculations!$C$5+5))&amp;" projects "&amp;IF(valSortType=6,"in ","by ")&amp;LOWER(INDEX(lstSortTypes,valSortType))</f>
        <v>Showing top 5 projects in original order</v>
      </c>
      <c r="I7" s="79"/>
    </row>
    <row r="8" spans="1:15" x14ac:dyDescent="0.3">
      <c r="B8" s="79" t="s">
        <v>221</v>
      </c>
      <c r="C8" s="79">
        <v>0</v>
      </c>
    </row>
    <row r="9" spans="1:15" x14ac:dyDescent="0.3">
      <c r="B9" s="79" t="s">
        <v>190</v>
      </c>
      <c r="C9" s="79">
        <v>1</v>
      </c>
    </row>
    <row r="11" spans="1:15" x14ac:dyDescent="0.3">
      <c r="B11" s="79" t="s">
        <v>187</v>
      </c>
      <c r="C11" s="79">
        <v>6</v>
      </c>
      <c r="E11" s="79" t="s">
        <v>197</v>
      </c>
      <c r="F11" s="103">
        <f>COUNTA(tblProjects[Project Name])</f>
        <v>8</v>
      </c>
    </row>
    <row r="12" spans="1:15" x14ac:dyDescent="0.3">
      <c r="B12" s="79" t="s">
        <v>191</v>
      </c>
      <c r="C12" s="79" t="str">
        <f>INDEX(lstSortTypes,$C$11)</f>
        <v>Original Order</v>
      </c>
    </row>
    <row r="13" spans="1:15" x14ac:dyDescent="0.3">
      <c r="K13" s="104"/>
      <c r="L13" s="105" t="s">
        <v>198</v>
      </c>
      <c r="M13" s="79">
        <f>INDEX($C$4:$C$9,valSortType)</f>
        <v>1</v>
      </c>
      <c r="O13" s="104" t="s">
        <v>157</v>
      </c>
    </row>
    <row r="14" spans="1:15" x14ac:dyDescent="0.3">
      <c r="B14" s="104" t="s">
        <v>114</v>
      </c>
      <c r="C14" s="104" t="s">
        <v>71</v>
      </c>
      <c r="D14" s="104" t="s">
        <v>115</v>
      </c>
      <c r="E14" s="104" t="s">
        <v>116</v>
      </c>
      <c r="F14" s="104" t="s">
        <v>192</v>
      </c>
      <c r="G14" s="104" t="s">
        <v>193</v>
      </c>
      <c r="H14" s="104" t="s">
        <v>194</v>
      </c>
      <c r="I14" s="104" t="s">
        <v>48</v>
      </c>
      <c r="K14" s="104" t="s">
        <v>195</v>
      </c>
      <c r="L14" s="104" t="s">
        <v>196</v>
      </c>
      <c r="M14" s="104" t="s">
        <v>156</v>
      </c>
      <c r="O14" s="104" t="s">
        <v>48</v>
      </c>
    </row>
    <row r="15" spans="1:15" x14ac:dyDescent="0.3">
      <c r="B15" s="79">
        <v>1</v>
      </c>
      <c r="C15" s="79" t="str">
        <f>INDEX(tblProjects[Project Name],$B15)</f>
        <v>ABC Integration</v>
      </c>
      <c r="D15" s="79">
        <f>INDEX(tblProjects[% Done],$B15)</f>
        <v>0.84</v>
      </c>
      <c r="E15" s="79">
        <f>INDEX(tblProjects[Deadline],$B15)</f>
        <v>41741</v>
      </c>
      <c r="F15" s="79">
        <f>INDEX(tblProjects[Spent ($)],$B15)/INDEX(tblProjects[Budget ($)],$B15)</f>
        <v>0.81179752066115707</v>
      </c>
      <c r="G15" s="79">
        <f>COUNTIFS(tblIssues[In Project],$C15,tblIssues[Closed?],"&lt;&gt;Yes")</f>
        <v>6</v>
      </c>
      <c r="H15" s="79">
        <f>COUNTIFS(tblRisks[In Project],$C15,tblRisks[Mitigation Plan],"")</f>
        <v>2</v>
      </c>
      <c r="I15" s="79">
        <f>INDEX(tblProjects[ID],B15)</f>
        <v>1</v>
      </c>
      <c r="K15" s="79">
        <f t="shared" ref="K15:K46" si="0">INDEX($D15:$I15,valSortType)</f>
        <v>1</v>
      </c>
      <c r="L15" s="102">
        <f>K15+(0.00000001)*$B15</f>
        <v>1.0000000099999999</v>
      </c>
      <c r="M15" s="79">
        <f>RANK(L15,lstPrjSortItems,$M$13)</f>
        <v>1</v>
      </c>
      <c r="O15" s="79">
        <f>INDEX($I$15:$I$64,MATCH($B15,$M$15:$M$64,0))</f>
        <v>1</v>
      </c>
    </row>
    <row r="16" spans="1:15" x14ac:dyDescent="0.3">
      <c r="B16" s="79">
        <v>2</v>
      </c>
      <c r="C16" s="79" t="str">
        <f>INDEX(tblProjects[Project Name],$B16)</f>
        <v>Morlott Highway</v>
      </c>
      <c r="D16" s="79">
        <f>INDEX(tblProjects[% Done],$B16)</f>
        <v>0.91</v>
      </c>
      <c r="E16" s="79">
        <f>INDEX(tblProjects[Deadline],$B16)</f>
        <v>41833</v>
      </c>
      <c r="F16" s="79">
        <f>INDEX(tblProjects[Spent ($)],$B16)/INDEX(tblProjects[Budget ($)],$B16)</f>
        <v>0.79814921465968591</v>
      </c>
      <c r="G16" s="79">
        <f>COUNTIFS(tblIssues[In Project],$C16,tblIssues[Closed?],"&lt;&gt;Yes")</f>
        <v>1</v>
      </c>
      <c r="H16" s="79">
        <f>COUNTIFS(tblRisks[In Project],$C16,tblRisks[Mitigation Plan],"")</f>
        <v>1</v>
      </c>
      <c r="I16" s="79">
        <f>INDEX(tblProjects[ID],B16)</f>
        <v>2</v>
      </c>
      <c r="K16" s="79">
        <f t="shared" si="0"/>
        <v>2</v>
      </c>
      <c r="L16" s="102">
        <f t="shared" ref="L16:L64" si="1">K16+(0.00000001)*$B16</f>
        <v>2.0000000199999999</v>
      </c>
      <c r="M16" s="79">
        <f>RANK(L16,lstPrjSortItems,$M$13)</f>
        <v>2</v>
      </c>
      <c r="O16" s="79">
        <f t="shared" ref="O16:O64" si="2">INDEX($I$15:$I$64,MATCH($B16,$M$15:$M$64,0))</f>
        <v>2</v>
      </c>
    </row>
    <row r="17" spans="2:15" x14ac:dyDescent="0.3">
      <c r="B17" s="79">
        <v>3</v>
      </c>
      <c r="C17" s="79" t="str">
        <f>INDEX(tblProjects[Project Name],$B17)</f>
        <v>Riggs-A-lot decomissioning</v>
      </c>
      <c r="D17" s="79">
        <f>INDEX(tblProjects[% Done],$B17)</f>
        <v>0.5</v>
      </c>
      <c r="E17" s="79">
        <f>INDEX(tblProjects[Deadline],$B17)</f>
        <v>41347</v>
      </c>
      <c r="F17" s="79">
        <f>INDEX(tblProjects[Spent ($)],$B17)/INDEX(tblProjects[Budget ($)],$B17)</f>
        <v>0.58918302387267907</v>
      </c>
      <c r="G17" s="79">
        <f>COUNTIFS(tblIssues[In Project],$C17,tblIssues[Closed?],"&lt;&gt;Yes")</f>
        <v>4</v>
      </c>
      <c r="H17" s="79">
        <f>COUNTIFS(tblRisks[In Project],$C17,tblRisks[Mitigation Plan],"")</f>
        <v>2</v>
      </c>
      <c r="I17" s="79">
        <f>INDEX(tblProjects[ID],B17)</f>
        <v>3</v>
      </c>
      <c r="K17" s="79">
        <f t="shared" si="0"/>
        <v>3</v>
      </c>
      <c r="L17" s="102">
        <f t="shared" si="1"/>
        <v>3.0000000299999998</v>
      </c>
      <c r="M17" s="79">
        <f>RANK(L17,lstPrjSortItems,$M$13)</f>
        <v>3</v>
      </c>
      <c r="O17" s="79">
        <f t="shared" si="2"/>
        <v>3</v>
      </c>
    </row>
    <row r="18" spans="2:15" x14ac:dyDescent="0.3">
      <c r="B18" s="79">
        <v>4</v>
      </c>
      <c r="C18" s="79" t="str">
        <f>INDEX(tblProjects[Project Name],$B18)</f>
        <v>12th Annual Customer Convention</v>
      </c>
      <c r="D18" s="79">
        <f>INDEX(tblProjects[% Done],$B18)</f>
        <v>0.79</v>
      </c>
      <c r="E18" s="79">
        <f>INDEX(tblProjects[Deadline],$B18)</f>
        <v>41567</v>
      </c>
      <c r="F18" s="79">
        <f>INDEX(tblProjects[Spent ($)],$B18)/INDEX(tblProjects[Budget ($)],$B18)</f>
        <v>0.90896938775510205</v>
      </c>
      <c r="G18" s="79">
        <f>COUNTIFS(tblIssues[In Project],$C18,tblIssues[Closed?],"&lt;&gt;Yes")</f>
        <v>4</v>
      </c>
      <c r="H18" s="79">
        <f>COUNTIFS(tblRisks[In Project],$C18,tblRisks[Mitigation Plan],"")</f>
        <v>3</v>
      </c>
      <c r="I18" s="79">
        <f>INDEX(tblProjects[ID],B18)</f>
        <v>4</v>
      </c>
      <c r="K18" s="79">
        <f t="shared" si="0"/>
        <v>4</v>
      </c>
      <c r="L18" s="102">
        <f t="shared" si="1"/>
        <v>4.0000000399999998</v>
      </c>
      <c r="M18" s="79">
        <f>RANK(L18,lstPrjSortItems,$M$13)</f>
        <v>4</v>
      </c>
      <c r="O18" s="79">
        <f t="shared" si="2"/>
        <v>4</v>
      </c>
    </row>
    <row r="19" spans="2:15" x14ac:dyDescent="0.3">
      <c r="B19" s="79">
        <v>5</v>
      </c>
      <c r="C19" s="79" t="str">
        <f>INDEX(tblProjects[Project Name],$B19)</f>
        <v>Six Sigma Assessment</v>
      </c>
      <c r="D19" s="79">
        <f>INDEX(tblProjects[% Done],$B19)</f>
        <v>0.86</v>
      </c>
      <c r="E19" s="79">
        <f>INDEX(tblProjects[Deadline],$B19)</f>
        <v>41357</v>
      </c>
      <c r="F19" s="79">
        <f>INDEX(tblProjects[Spent ($)],$B19)/INDEX(tblProjects[Budget ($)],$B19)</f>
        <v>0.72801123595505624</v>
      </c>
      <c r="G19" s="79">
        <f>COUNTIFS(tblIssues[In Project],$C19,tblIssues[Closed?],"&lt;&gt;Yes")</f>
        <v>3</v>
      </c>
      <c r="H19" s="79">
        <f>COUNTIFS(tblRisks[In Project],$C19,tblRisks[Mitigation Plan],"")</f>
        <v>2</v>
      </c>
      <c r="I19" s="79">
        <f>INDEX(tblProjects[ID],B19)</f>
        <v>5</v>
      </c>
      <c r="K19" s="79">
        <f t="shared" si="0"/>
        <v>5</v>
      </c>
      <c r="L19" s="102">
        <f t="shared" si="1"/>
        <v>5.0000000499999997</v>
      </c>
      <c r="M19" s="79">
        <f>RANK(L19,lstPrjSortItems,$M$13)</f>
        <v>5</v>
      </c>
      <c r="O19" s="79">
        <f t="shared" si="2"/>
        <v>5</v>
      </c>
    </row>
    <row r="20" spans="2:15" x14ac:dyDescent="0.3">
      <c r="B20" s="79">
        <v>6</v>
      </c>
      <c r="C20" s="79" t="str">
        <f>INDEX(tblProjects[Project Name],$B20)</f>
        <v>CBM Development</v>
      </c>
      <c r="D20" s="79">
        <f>INDEX(tblProjects[% Done],$B20)</f>
        <v>1</v>
      </c>
      <c r="E20" s="79">
        <f>INDEX(tblProjects[Deadline],$B20)</f>
        <v>41560</v>
      </c>
      <c r="F20" s="79">
        <f>INDEX(tblProjects[Spent ($)],$B20)/INDEX(tblProjects[Budget ($)],$B20)</f>
        <v>0.62381125827814565</v>
      </c>
      <c r="G20" s="79">
        <f>COUNTIFS(tblIssues[In Project],$C20,tblIssues[Closed?],"&lt;&gt;Yes")</f>
        <v>1</v>
      </c>
      <c r="H20" s="79">
        <f>COUNTIFS(tblRisks[In Project],$C20,tblRisks[Mitigation Plan],"")</f>
        <v>6</v>
      </c>
      <c r="I20" s="79">
        <f>INDEX(tblProjects[ID],B20)</f>
        <v>6</v>
      </c>
      <c r="K20" s="79">
        <f t="shared" si="0"/>
        <v>6</v>
      </c>
      <c r="L20" s="102">
        <f t="shared" si="1"/>
        <v>6.0000000599999996</v>
      </c>
      <c r="M20" s="79">
        <f>RANK(L20,lstPrjSortItems,$M$13)</f>
        <v>6</v>
      </c>
      <c r="O20" s="79">
        <f t="shared" si="2"/>
        <v>6</v>
      </c>
    </row>
    <row r="21" spans="2:15" x14ac:dyDescent="0.3">
      <c r="B21" s="79">
        <v>7</v>
      </c>
      <c r="C21" s="79" t="str">
        <f>INDEX(tblProjects[Project Name],$B21)</f>
        <v>ASSOC Maintenance</v>
      </c>
      <c r="D21" s="79">
        <f>INDEX(tblProjects[% Done],$B21)</f>
        <v>0.91</v>
      </c>
      <c r="E21" s="79">
        <f>INDEX(tblProjects[Deadline],$B21)</f>
        <v>41726</v>
      </c>
      <c r="F21" s="79">
        <f>INDEX(tblProjects[Spent ($)],$B21)/INDEX(tblProjects[Budget ($)],$B21)</f>
        <v>0.89015061728395062</v>
      </c>
      <c r="G21" s="79">
        <f>COUNTIFS(tblIssues[In Project],$C21,tblIssues[Closed?],"&lt;&gt;Yes")</f>
        <v>3</v>
      </c>
      <c r="H21" s="79">
        <f>COUNTIFS(tblRisks[In Project],$C21,tblRisks[Mitigation Plan],"")</f>
        <v>2</v>
      </c>
      <c r="I21" s="79">
        <f>INDEX(tblProjects[ID],B21)</f>
        <v>7</v>
      </c>
      <c r="K21" s="79">
        <f t="shared" si="0"/>
        <v>7</v>
      </c>
      <c r="L21" s="102">
        <f t="shared" si="1"/>
        <v>7.0000000699999996</v>
      </c>
      <c r="M21" s="79">
        <f>RANK(L21,lstPrjSortItems,$M$13)</f>
        <v>7</v>
      </c>
      <c r="O21" s="79">
        <f t="shared" si="2"/>
        <v>7</v>
      </c>
    </row>
    <row r="22" spans="2:15" x14ac:dyDescent="0.3">
      <c r="B22" s="79">
        <v>8</v>
      </c>
      <c r="C22" s="79" t="str">
        <f>INDEX(tblProjects[Project Name],$B22)</f>
        <v>HRM Rollout</v>
      </c>
      <c r="D22" s="79">
        <f>INDEX(tblProjects[% Done],$B22)</f>
        <v>0.81</v>
      </c>
      <c r="E22" s="79">
        <f>INDEX(tblProjects[Deadline],$B22)</f>
        <v>41498</v>
      </c>
      <c r="F22" s="79">
        <f>INDEX(tblProjects[Spent ($)],$B22)/INDEX(tblProjects[Budget ($)],$B22)</f>
        <v>0.53237888198757766</v>
      </c>
      <c r="G22" s="79">
        <f>COUNTIFS(tblIssues[In Project],$C22,tblIssues[Closed?],"&lt;&gt;Yes")</f>
        <v>1</v>
      </c>
      <c r="H22" s="79">
        <f>COUNTIFS(tblRisks[In Project],$C22,tblRisks[Mitigation Plan],"")</f>
        <v>4</v>
      </c>
      <c r="I22" s="79">
        <f>INDEX(tblProjects[ID],B22)</f>
        <v>8</v>
      </c>
      <c r="K22" s="79">
        <f t="shared" si="0"/>
        <v>8</v>
      </c>
      <c r="L22" s="102">
        <f t="shared" si="1"/>
        <v>8.0000000799999995</v>
      </c>
      <c r="M22" s="79">
        <f>RANK(L22,lstPrjSortItems,$M$13)</f>
        <v>8</v>
      </c>
      <c r="O22" s="79">
        <f t="shared" si="2"/>
        <v>8</v>
      </c>
    </row>
    <row r="23" spans="2:15" x14ac:dyDescent="0.3">
      <c r="B23" s="79">
        <v>9</v>
      </c>
      <c r="C23" s="79" t="e">
        <f>INDEX(tblProjects[Project Name],$B23)</f>
        <v>#REF!</v>
      </c>
      <c r="D23" s="79" t="e">
        <f>INDEX(tblProjects[% Done],$B23)</f>
        <v>#REF!</v>
      </c>
      <c r="E23" s="79" t="e">
        <f>INDEX(tblProjects[Deadline],$B23)</f>
        <v>#REF!</v>
      </c>
      <c r="F23" s="79" t="e">
        <f>INDEX(tblProjects[Spent ($)],$B23)/INDEX(tblProjects[Budget ($)],$B23)</f>
        <v>#REF!</v>
      </c>
      <c r="G23" s="79">
        <f>COUNTIFS(tblIssues[In Project],$C23,tblIssues[Closed?],"&lt;&gt;Yes")</f>
        <v>0</v>
      </c>
      <c r="H23" s="79">
        <f>COUNTIFS(tblRisks[In Project],$C23,tblRisks[Mitigation Plan],"")</f>
        <v>0</v>
      </c>
      <c r="I23" s="79" t="e">
        <f>INDEX(tblProjects[ID],B23)</f>
        <v>#REF!</v>
      </c>
      <c r="K23" s="79" t="e">
        <f t="shared" si="0"/>
        <v>#REF!</v>
      </c>
      <c r="L23" s="102" t="e">
        <f t="shared" si="1"/>
        <v>#REF!</v>
      </c>
      <c r="M23" s="79" t="e">
        <f>RANK(L23,lstPrjSortItems,$M$13)</f>
        <v>#REF!</v>
      </c>
      <c r="O23" s="79" t="e">
        <f t="shared" si="2"/>
        <v>#N/A</v>
      </c>
    </row>
    <row r="24" spans="2:15" x14ac:dyDescent="0.3">
      <c r="B24" s="79">
        <v>10</v>
      </c>
      <c r="C24" s="79" t="e">
        <f>INDEX(tblProjects[Project Name],$B24)</f>
        <v>#REF!</v>
      </c>
      <c r="D24" s="79" t="e">
        <f>INDEX(tblProjects[% Done],$B24)</f>
        <v>#REF!</v>
      </c>
      <c r="E24" s="79" t="e">
        <f>INDEX(tblProjects[Deadline],$B24)</f>
        <v>#REF!</v>
      </c>
      <c r="F24" s="79" t="e">
        <f>INDEX(tblProjects[Spent ($)],$B24)/INDEX(tblProjects[Budget ($)],$B24)</f>
        <v>#REF!</v>
      </c>
      <c r="G24" s="79">
        <f>COUNTIFS(tblIssues[In Project],$C24,tblIssues[Closed?],"&lt;&gt;Yes")</f>
        <v>0</v>
      </c>
      <c r="H24" s="79">
        <f>COUNTIFS(tblRisks[In Project],$C24,tblRisks[Mitigation Plan],"")</f>
        <v>0</v>
      </c>
      <c r="I24" s="79" t="e">
        <f>INDEX(tblProjects[ID],B24)</f>
        <v>#REF!</v>
      </c>
      <c r="K24" s="79" t="e">
        <f t="shared" si="0"/>
        <v>#REF!</v>
      </c>
      <c r="L24" s="102" t="e">
        <f t="shared" si="1"/>
        <v>#REF!</v>
      </c>
      <c r="M24" s="79" t="e">
        <f>RANK(L24,lstPrjSortItems,$M$13)</f>
        <v>#REF!</v>
      </c>
      <c r="O24" s="79" t="e">
        <f t="shared" si="2"/>
        <v>#N/A</v>
      </c>
    </row>
    <row r="25" spans="2:15" x14ac:dyDescent="0.3">
      <c r="B25" s="79">
        <v>11</v>
      </c>
      <c r="C25" s="79" t="e">
        <f>INDEX(tblProjects[Project Name],$B25)</f>
        <v>#REF!</v>
      </c>
      <c r="D25" s="79" t="e">
        <f>INDEX(tblProjects[% Done],$B25)</f>
        <v>#REF!</v>
      </c>
      <c r="E25" s="79" t="e">
        <f>INDEX(tblProjects[Deadline],$B25)</f>
        <v>#REF!</v>
      </c>
      <c r="F25" s="79" t="e">
        <f>INDEX(tblProjects[Spent ($)],$B25)/INDEX(tblProjects[Budget ($)],$B25)</f>
        <v>#REF!</v>
      </c>
      <c r="G25" s="79">
        <f>COUNTIFS(tblIssues[In Project],$C25,tblIssues[Closed?],"&lt;&gt;Yes")</f>
        <v>0</v>
      </c>
      <c r="H25" s="79">
        <f>COUNTIFS(tblRisks[In Project],$C25,tblRisks[Mitigation Plan],"")</f>
        <v>0</v>
      </c>
      <c r="I25" s="79" t="e">
        <f>INDEX(tblProjects[ID],B25)</f>
        <v>#REF!</v>
      </c>
      <c r="K25" s="79" t="e">
        <f t="shared" si="0"/>
        <v>#REF!</v>
      </c>
      <c r="L25" s="102" t="e">
        <f t="shared" si="1"/>
        <v>#REF!</v>
      </c>
      <c r="M25" s="79" t="e">
        <f>RANK(L25,lstPrjSortItems,$M$13)</f>
        <v>#REF!</v>
      </c>
      <c r="O25" s="79" t="e">
        <f t="shared" si="2"/>
        <v>#N/A</v>
      </c>
    </row>
    <row r="26" spans="2:15" x14ac:dyDescent="0.3">
      <c r="B26" s="79">
        <v>12</v>
      </c>
      <c r="C26" s="79" t="e">
        <f>INDEX(tblProjects[Project Name],$B26)</f>
        <v>#REF!</v>
      </c>
      <c r="D26" s="79" t="e">
        <f>INDEX(tblProjects[% Done],$B26)</f>
        <v>#REF!</v>
      </c>
      <c r="E26" s="79" t="e">
        <f>INDEX(tblProjects[Deadline],$B26)</f>
        <v>#REF!</v>
      </c>
      <c r="F26" s="79" t="e">
        <f>INDEX(tblProjects[Spent ($)],$B26)/INDEX(tblProjects[Budget ($)],$B26)</f>
        <v>#REF!</v>
      </c>
      <c r="G26" s="79">
        <f>COUNTIFS(tblIssues[In Project],$C26,tblIssues[Closed?],"&lt;&gt;Yes")</f>
        <v>0</v>
      </c>
      <c r="H26" s="79">
        <f>COUNTIFS(tblRisks[In Project],$C26,tblRisks[Mitigation Plan],"")</f>
        <v>0</v>
      </c>
      <c r="I26" s="79" t="e">
        <f>INDEX(tblProjects[ID],B26)</f>
        <v>#REF!</v>
      </c>
      <c r="K26" s="79" t="e">
        <f t="shared" si="0"/>
        <v>#REF!</v>
      </c>
      <c r="L26" s="102" t="e">
        <f t="shared" si="1"/>
        <v>#REF!</v>
      </c>
      <c r="M26" s="79" t="e">
        <f>RANK(L26,lstPrjSortItems,$M$13)</f>
        <v>#REF!</v>
      </c>
      <c r="O26" s="79" t="e">
        <f t="shared" si="2"/>
        <v>#N/A</v>
      </c>
    </row>
    <row r="27" spans="2:15" x14ac:dyDescent="0.3">
      <c r="B27" s="79">
        <v>13</v>
      </c>
      <c r="C27" s="79" t="e">
        <f>INDEX(tblProjects[Project Name],$B27)</f>
        <v>#REF!</v>
      </c>
      <c r="D27" s="79" t="e">
        <f>INDEX(tblProjects[% Done],$B27)</f>
        <v>#REF!</v>
      </c>
      <c r="E27" s="79" t="e">
        <f>INDEX(tblProjects[Deadline],$B27)</f>
        <v>#REF!</v>
      </c>
      <c r="F27" s="79" t="e">
        <f>INDEX(tblProjects[Spent ($)],$B27)/INDEX(tblProjects[Budget ($)],$B27)</f>
        <v>#REF!</v>
      </c>
      <c r="G27" s="79">
        <f>COUNTIFS(tblIssues[In Project],$C27,tblIssues[Closed?],"&lt;&gt;Yes")</f>
        <v>0</v>
      </c>
      <c r="H27" s="79">
        <f>COUNTIFS(tblRisks[In Project],$C27,tblRisks[Mitigation Plan],"")</f>
        <v>0</v>
      </c>
      <c r="I27" s="79" t="e">
        <f>INDEX(tblProjects[ID],B27)</f>
        <v>#REF!</v>
      </c>
      <c r="K27" s="79" t="e">
        <f t="shared" si="0"/>
        <v>#REF!</v>
      </c>
      <c r="L27" s="102" t="e">
        <f t="shared" si="1"/>
        <v>#REF!</v>
      </c>
      <c r="M27" s="79" t="e">
        <f>RANK(L27,lstPrjSortItems,$M$13)</f>
        <v>#REF!</v>
      </c>
      <c r="O27" s="79" t="e">
        <f t="shared" si="2"/>
        <v>#N/A</v>
      </c>
    </row>
    <row r="28" spans="2:15" x14ac:dyDescent="0.3">
      <c r="B28" s="79">
        <v>14</v>
      </c>
      <c r="C28" s="79" t="e">
        <f>INDEX(tblProjects[Project Name],$B28)</f>
        <v>#REF!</v>
      </c>
      <c r="D28" s="79" t="e">
        <f>INDEX(tblProjects[% Done],$B28)</f>
        <v>#REF!</v>
      </c>
      <c r="E28" s="79" t="e">
        <f>INDEX(tblProjects[Deadline],$B28)</f>
        <v>#REF!</v>
      </c>
      <c r="F28" s="79" t="e">
        <f>INDEX(tblProjects[Spent ($)],$B28)/INDEX(tblProjects[Budget ($)],$B28)</f>
        <v>#REF!</v>
      </c>
      <c r="G28" s="79">
        <f>COUNTIFS(tblIssues[In Project],$C28,tblIssues[Closed?],"&lt;&gt;Yes")</f>
        <v>0</v>
      </c>
      <c r="H28" s="79">
        <f>COUNTIFS(tblRisks[In Project],$C28,tblRisks[Mitigation Plan],"")</f>
        <v>0</v>
      </c>
      <c r="I28" s="79" t="e">
        <f>INDEX(tblProjects[ID],B28)</f>
        <v>#REF!</v>
      </c>
      <c r="K28" s="79" t="e">
        <f t="shared" si="0"/>
        <v>#REF!</v>
      </c>
      <c r="L28" s="102" t="e">
        <f t="shared" si="1"/>
        <v>#REF!</v>
      </c>
      <c r="M28" s="79" t="e">
        <f>RANK(L28,lstPrjSortItems,$M$13)</f>
        <v>#REF!</v>
      </c>
      <c r="O28" s="79" t="e">
        <f t="shared" si="2"/>
        <v>#N/A</v>
      </c>
    </row>
    <row r="29" spans="2:15" x14ac:dyDescent="0.3">
      <c r="B29" s="79">
        <v>15</v>
      </c>
      <c r="C29" s="79" t="e">
        <f>INDEX(tblProjects[Project Name],$B29)</f>
        <v>#REF!</v>
      </c>
      <c r="D29" s="79" t="e">
        <f>INDEX(tblProjects[% Done],$B29)</f>
        <v>#REF!</v>
      </c>
      <c r="E29" s="79" t="e">
        <f>INDEX(tblProjects[Deadline],$B29)</f>
        <v>#REF!</v>
      </c>
      <c r="F29" s="79" t="e">
        <f>INDEX(tblProjects[Spent ($)],$B29)/INDEX(tblProjects[Budget ($)],$B29)</f>
        <v>#REF!</v>
      </c>
      <c r="G29" s="79">
        <f>COUNTIFS(tblIssues[In Project],$C29,tblIssues[Closed?],"&lt;&gt;Yes")</f>
        <v>0</v>
      </c>
      <c r="H29" s="79">
        <f>COUNTIFS(tblRisks[In Project],$C29,tblRisks[Mitigation Plan],"")</f>
        <v>0</v>
      </c>
      <c r="I29" s="79" t="e">
        <f>INDEX(tblProjects[ID],B29)</f>
        <v>#REF!</v>
      </c>
      <c r="K29" s="79" t="e">
        <f t="shared" si="0"/>
        <v>#REF!</v>
      </c>
      <c r="L29" s="102" t="e">
        <f t="shared" si="1"/>
        <v>#REF!</v>
      </c>
      <c r="M29" s="79" t="e">
        <f>RANK(L29,lstPrjSortItems,$M$13)</f>
        <v>#REF!</v>
      </c>
      <c r="O29" s="79" t="e">
        <f t="shared" si="2"/>
        <v>#N/A</v>
      </c>
    </row>
    <row r="30" spans="2:15" x14ac:dyDescent="0.3">
      <c r="B30" s="79">
        <v>16</v>
      </c>
      <c r="C30" s="79" t="e">
        <f>INDEX(tblProjects[Project Name],$B30)</f>
        <v>#REF!</v>
      </c>
      <c r="D30" s="79" t="e">
        <f>INDEX(tblProjects[% Done],$B30)</f>
        <v>#REF!</v>
      </c>
      <c r="E30" s="79" t="e">
        <f>INDEX(tblProjects[Deadline],$B30)</f>
        <v>#REF!</v>
      </c>
      <c r="F30" s="79" t="e">
        <f>INDEX(tblProjects[Spent ($)],$B30)/INDEX(tblProjects[Budget ($)],$B30)</f>
        <v>#REF!</v>
      </c>
      <c r="G30" s="79">
        <f>COUNTIFS(tblIssues[In Project],$C30,tblIssues[Closed?],"&lt;&gt;Yes")</f>
        <v>0</v>
      </c>
      <c r="H30" s="79">
        <f>COUNTIFS(tblRisks[In Project],$C30,tblRisks[Mitigation Plan],"")</f>
        <v>0</v>
      </c>
      <c r="I30" s="79" t="e">
        <f>INDEX(tblProjects[ID],B30)</f>
        <v>#REF!</v>
      </c>
      <c r="K30" s="79" t="e">
        <f t="shared" si="0"/>
        <v>#REF!</v>
      </c>
      <c r="L30" s="102" t="e">
        <f t="shared" si="1"/>
        <v>#REF!</v>
      </c>
      <c r="M30" s="79" t="e">
        <f>RANK(L30,lstPrjSortItems,$M$13)</f>
        <v>#REF!</v>
      </c>
      <c r="O30" s="79" t="e">
        <f t="shared" si="2"/>
        <v>#N/A</v>
      </c>
    </row>
    <row r="31" spans="2:15" x14ac:dyDescent="0.3">
      <c r="B31" s="79">
        <v>17</v>
      </c>
      <c r="C31" s="79" t="e">
        <f>INDEX(tblProjects[Project Name],$B31)</f>
        <v>#REF!</v>
      </c>
      <c r="D31" s="79" t="e">
        <f>INDEX(tblProjects[% Done],$B31)</f>
        <v>#REF!</v>
      </c>
      <c r="E31" s="79" t="e">
        <f>INDEX(tblProjects[Deadline],$B31)</f>
        <v>#REF!</v>
      </c>
      <c r="F31" s="79" t="e">
        <f>INDEX(tblProjects[Spent ($)],$B31)/INDEX(tblProjects[Budget ($)],$B31)</f>
        <v>#REF!</v>
      </c>
      <c r="G31" s="79">
        <f>COUNTIFS(tblIssues[In Project],$C31,tblIssues[Closed?],"&lt;&gt;Yes")</f>
        <v>0</v>
      </c>
      <c r="H31" s="79">
        <f>COUNTIFS(tblRisks[In Project],$C31,tblRisks[Mitigation Plan],"")</f>
        <v>0</v>
      </c>
      <c r="I31" s="79" t="e">
        <f>INDEX(tblProjects[ID],B31)</f>
        <v>#REF!</v>
      </c>
      <c r="K31" s="79" t="e">
        <f t="shared" si="0"/>
        <v>#REF!</v>
      </c>
      <c r="L31" s="102" t="e">
        <f t="shared" si="1"/>
        <v>#REF!</v>
      </c>
      <c r="M31" s="79" t="e">
        <f>RANK(L31,lstPrjSortItems,$M$13)</f>
        <v>#REF!</v>
      </c>
      <c r="O31" s="79" t="e">
        <f t="shared" si="2"/>
        <v>#N/A</v>
      </c>
    </row>
    <row r="32" spans="2:15" x14ac:dyDescent="0.3">
      <c r="B32" s="79">
        <v>18</v>
      </c>
      <c r="C32" s="79" t="e">
        <f>INDEX(tblProjects[Project Name],$B32)</f>
        <v>#REF!</v>
      </c>
      <c r="D32" s="79" t="e">
        <f>INDEX(tblProjects[% Done],$B32)</f>
        <v>#REF!</v>
      </c>
      <c r="E32" s="79" t="e">
        <f>INDEX(tblProjects[Deadline],$B32)</f>
        <v>#REF!</v>
      </c>
      <c r="F32" s="79" t="e">
        <f>INDEX(tblProjects[Spent ($)],$B32)/INDEX(tblProjects[Budget ($)],$B32)</f>
        <v>#REF!</v>
      </c>
      <c r="G32" s="79">
        <f>COUNTIFS(tblIssues[In Project],$C32,tblIssues[Closed?],"&lt;&gt;Yes")</f>
        <v>0</v>
      </c>
      <c r="H32" s="79">
        <f>COUNTIFS(tblRisks[In Project],$C32,tblRisks[Mitigation Plan],"")</f>
        <v>0</v>
      </c>
      <c r="I32" s="79" t="e">
        <f>INDEX(tblProjects[ID],B32)</f>
        <v>#REF!</v>
      </c>
      <c r="K32" s="79" t="e">
        <f t="shared" si="0"/>
        <v>#REF!</v>
      </c>
      <c r="L32" s="102" t="e">
        <f t="shared" si="1"/>
        <v>#REF!</v>
      </c>
      <c r="M32" s="79" t="e">
        <f>RANK(L32,lstPrjSortItems,$M$13)</f>
        <v>#REF!</v>
      </c>
      <c r="O32" s="79" t="e">
        <f t="shared" si="2"/>
        <v>#N/A</v>
      </c>
    </row>
    <row r="33" spans="2:15" x14ac:dyDescent="0.3">
      <c r="B33" s="79">
        <v>19</v>
      </c>
      <c r="C33" s="79" t="e">
        <f>INDEX(tblProjects[Project Name],$B33)</f>
        <v>#REF!</v>
      </c>
      <c r="D33" s="79" t="e">
        <f>INDEX(tblProjects[% Done],$B33)</f>
        <v>#REF!</v>
      </c>
      <c r="E33" s="79" t="e">
        <f>INDEX(tblProjects[Deadline],$B33)</f>
        <v>#REF!</v>
      </c>
      <c r="F33" s="79" t="e">
        <f>INDEX(tblProjects[Spent ($)],$B33)/INDEX(tblProjects[Budget ($)],$B33)</f>
        <v>#REF!</v>
      </c>
      <c r="G33" s="79">
        <f>COUNTIFS(tblIssues[In Project],$C33,tblIssues[Closed?],"&lt;&gt;Yes")</f>
        <v>0</v>
      </c>
      <c r="H33" s="79">
        <f>COUNTIFS(tblRisks[In Project],$C33,tblRisks[Mitigation Plan],"")</f>
        <v>0</v>
      </c>
      <c r="I33" s="79" t="e">
        <f>INDEX(tblProjects[ID],B33)</f>
        <v>#REF!</v>
      </c>
      <c r="K33" s="79" t="e">
        <f t="shared" si="0"/>
        <v>#REF!</v>
      </c>
      <c r="L33" s="102" t="e">
        <f t="shared" si="1"/>
        <v>#REF!</v>
      </c>
      <c r="M33" s="79" t="e">
        <f>RANK(L33,lstPrjSortItems,$M$13)</f>
        <v>#REF!</v>
      </c>
      <c r="O33" s="79" t="e">
        <f t="shared" si="2"/>
        <v>#N/A</v>
      </c>
    </row>
    <row r="34" spans="2:15" x14ac:dyDescent="0.3">
      <c r="B34" s="79">
        <v>20</v>
      </c>
      <c r="C34" s="79" t="e">
        <f>INDEX(tblProjects[Project Name],$B34)</f>
        <v>#REF!</v>
      </c>
      <c r="D34" s="79" t="e">
        <f>INDEX(tblProjects[% Done],$B34)</f>
        <v>#REF!</v>
      </c>
      <c r="E34" s="79" t="e">
        <f>INDEX(tblProjects[Deadline],$B34)</f>
        <v>#REF!</v>
      </c>
      <c r="F34" s="79" t="e">
        <f>INDEX(tblProjects[Spent ($)],$B34)/INDEX(tblProjects[Budget ($)],$B34)</f>
        <v>#REF!</v>
      </c>
      <c r="G34" s="79">
        <f>COUNTIFS(tblIssues[In Project],$C34,tblIssues[Closed?],"&lt;&gt;Yes")</f>
        <v>0</v>
      </c>
      <c r="H34" s="79">
        <f>COUNTIFS(tblRisks[In Project],$C34,tblRisks[Mitigation Plan],"")</f>
        <v>0</v>
      </c>
      <c r="I34" s="79" t="e">
        <f>INDEX(tblProjects[ID],B34)</f>
        <v>#REF!</v>
      </c>
      <c r="K34" s="79" t="e">
        <f t="shared" si="0"/>
        <v>#REF!</v>
      </c>
      <c r="L34" s="102" t="e">
        <f t="shared" si="1"/>
        <v>#REF!</v>
      </c>
      <c r="M34" s="79" t="e">
        <f>RANK(L34,lstPrjSortItems,$M$13)</f>
        <v>#REF!</v>
      </c>
      <c r="O34" s="79" t="e">
        <f t="shared" si="2"/>
        <v>#N/A</v>
      </c>
    </row>
    <row r="35" spans="2:15" x14ac:dyDescent="0.3">
      <c r="B35" s="79">
        <v>21</v>
      </c>
      <c r="C35" s="79" t="e">
        <f>INDEX(tblProjects[Project Name],$B35)</f>
        <v>#REF!</v>
      </c>
      <c r="D35" s="79" t="e">
        <f>INDEX(tblProjects[% Done],$B35)</f>
        <v>#REF!</v>
      </c>
      <c r="E35" s="79" t="e">
        <f>INDEX(tblProjects[Deadline],$B35)</f>
        <v>#REF!</v>
      </c>
      <c r="F35" s="79" t="e">
        <f>INDEX(tblProjects[Spent ($)],$B35)/INDEX(tblProjects[Budget ($)],$B35)</f>
        <v>#REF!</v>
      </c>
      <c r="G35" s="79">
        <f>COUNTIFS(tblIssues[In Project],$C35,tblIssues[Closed?],"&lt;&gt;Yes")</f>
        <v>0</v>
      </c>
      <c r="H35" s="79">
        <f>COUNTIFS(tblRisks[In Project],$C35,tblRisks[Mitigation Plan],"")</f>
        <v>0</v>
      </c>
      <c r="I35" s="79" t="e">
        <f>INDEX(tblProjects[ID],B35)</f>
        <v>#REF!</v>
      </c>
      <c r="K35" s="79" t="e">
        <f t="shared" si="0"/>
        <v>#REF!</v>
      </c>
      <c r="L35" s="102" t="e">
        <f t="shared" si="1"/>
        <v>#REF!</v>
      </c>
      <c r="M35" s="79" t="e">
        <f>RANK(L35,lstPrjSortItems,$M$13)</f>
        <v>#REF!</v>
      </c>
      <c r="O35" s="79" t="e">
        <f t="shared" si="2"/>
        <v>#N/A</v>
      </c>
    </row>
    <row r="36" spans="2:15" x14ac:dyDescent="0.3">
      <c r="B36" s="79">
        <v>22</v>
      </c>
      <c r="C36" s="79" t="e">
        <f>INDEX(tblProjects[Project Name],$B36)</f>
        <v>#REF!</v>
      </c>
      <c r="D36" s="79" t="e">
        <f>INDEX(tblProjects[% Done],$B36)</f>
        <v>#REF!</v>
      </c>
      <c r="E36" s="79" t="e">
        <f>INDEX(tblProjects[Deadline],$B36)</f>
        <v>#REF!</v>
      </c>
      <c r="F36" s="79" t="e">
        <f>INDEX(tblProjects[Spent ($)],$B36)/INDEX(tblProjects[Budget ($)],$B36)</f>
        <v>#REF!</v>
      </c>
      <c r="G36" s="79">
        <f>COUNTIFS(tblIssues[In Project],$C36,tblIssues[Closed?],"&lt;&gt;Yes")</f>
        <v>0</v>
      </c>
      <c r="H36" s="79">
        <f>COUNTIFS(tblRisks[In Project],$C36,tblRisks[Mitigation Plan],"")</f>
        <v>0</v>
      </c>
      <c r="I36" s="79" t="e">
        <f>INDEX(tblProjects[ID],B36)</f>
        <v>#REF!</v>
      </c>
      <c r="K36" s="79" t="e">
        <f t="shared" si="0"/>
        <v>#REF!</v>
      </c>
      <c r="L36" s="102" t="e">
        <f t="shared" si="1"/>
        <v>#REF!</v>
      </c>
      <c r="M36" s="79" t="e">
        <f>RANK(L36,lstPrjSortItems,$M$13)</f>
        <v>#REF!</v>
      </c>
      <c r="O36" s="79" t="e">
        <f t="shared" si="2"/>
        <v>#N/A</v>
      </c>
    </row>
    <row r="37" spans="2:15" x14ac:dyDescent="0.3">
      <c r="B37" s="79">
        <v>23</v>
      </c>
      <c r="C37" s="79" t="e">
        <f>INDEX(tblProjects[Project Name],$B37)</f>
        <v>#REF!</v>
      </c>
      <c r="D37" s="79" t="e">
        <f>INDEX(tblProjects[% Done],$B37)</f>
        <v>#REF!</v>
      </c>
      <c r="E37" s="79" t="e">
        <f>INDEX(tblProjects[Deadline],$B37)</f>
        <v>#REF!</v>
      </c>
      <c r="F37" s="79" t="e">
        <f>INDEX(tblProjects[Spent ($)],$B37)/INDEX(tblProjects[Budget ($)],$B37)</f>
        <v>#REF!</v>
      </c>
      <c r="G37" s="79">
        <f>COUNTIFS(tblIssues[In Project],$C37,tblIssues[Closed?],"&lt;&gt;Yes")</f>
        <v>0</v>
      </c>
      <c r="H37" s="79">
        <f>COUNTIFS(tblRisks[In Project],$C37,tblRisks[Mitigation Plan],"")</f>
        <v>0</v>
      </c>
      <c r="I37" s="79" t="e">
        <f>INDEX(tblProjects[ID],B37)</f>
        <v>#REF!</v>
      </c>
      <c r="K37" s="79" t="e">
        <f t="shared" si="0"/>
        <v>#REF!</v>
      </c>
      <c r="L37" s="102" t="e">
        <f t="shared" si="1"/>
        <v>#REF!</v>
      </c>
      <c r="M37" s="79" t="e">
        <f>RANK(L37,lstPrjSortItems,$M$13)</f>
        <v>#REF!</v>
      </c>
      <c r="O37" s="79" t="e">
        <f t="shared" si="2"/>
        <v>#N/A</v>
      </c>
    </row>
    <row r="38" spans="2:15" x14ac:dyDescent="0.3">
      <c r="B38" s="79">
        <v>24</v>
      </c>
      <c r="C38" s="79" t="e">
        <f>INDEX(tblProjects[Project Name],$B38)</f>
        <v>#REF!</v>
      </c>
      <c r="D38" s="79" t="e">
        <f>INDEX(tblProjects[% Done],$B38)</f>
        <v>#REF!</v>
      </c>
      <c r="E38" s="79" t="e">
        <f>INDEX(tblProjects[Deadline],$B38)</f>
        <v>#REF!</v>
      </c>
      <c r="F38" s="79" t="e">
        <f>INDEX(tblProjects[Spent ($)],$B38)/INDEX(tblProjects[Budget ($)],$B38)</f>
        <v>#REF!</v>
      </c>
      <c r="G38" s="79">
        <f>COUNTIFS(tblIssues[In Project],$C38,tblIssues[Closed?],"&lt;&gt;Yes")</f>
        <v>0</v>
      </c>
      <c r="H38" s="79">
        <f>COUNTIFS(tblRisks[In Project],$C38,tblRisks[Mitigation Plan],"")</f>
        <v>0</v>
      </c>
      <c r="I38" s="79" t="e">
        <f>INDEX(tblProjects[ID],B38)</f>
        <v>#REF!</v>
      </c>
      <c r="K38" s="79" t="e">
        <f t="shared" si="0"/>
        <v>#REF!</v>
      </c>
      <c r="L38" s="102" t="e">
        <f t="shared" si="1"/>
        <v>#REF!</v>
      </c>
      <c r="M38" s="79" t="e">
        <f>RANK(L38,lstPrjSortItems,$M$13)</f>
        <v>#REF!</v>
      </c>
      <c r="O38" s="79" t="e">
        <f t="shared" si="2"/>
        <v>#N/A</v>
      </c>
    </row>
    <row r="39" spans="2:15" x14ac:dyDescent="0.3">
      <c r="B39" s="79">
        <v>25</v>
      </c>
      <c r="C39" s="79" t="e">
        <f>INDEX(tblProjects[Project Name],$B39)</f>
        <v>#REF!</v>
      </c>
      <c r="D39" s="79" t="e">
        <f>INDEX(tblProjects[% Done],$B39)</f>
        <v>#REF!</v>
      </c>
      <c r="E39" s="79" t="e">
        <f>INDEX(tblProjects[Deadline],$B39)</f>
        <v>#REF!</v>
      </c>
      <c r="F39" s="79" t="e">
        <f>INDEX(tblProjects[Spent ($)],$B39)/INDEX(tblProjects[Budget ($)],$B39)</f>
        <v>#REF!</v>
      </c>
      <c r="G39" s="79">
        <f>COUNTIFS(tblIssues[In Project],$C39,tblIssues[Closed?],"&lt;&gt;Yes")</f>
        <v>0</v>
      </c>
      <c r="H39" s="79">
        <f>COUNTIFS(tblRisks[In Project],$C39,tblRisks[Mitigation Plan],"")</f>
        <v>0</v>
      </c>
      <c r="I39" s="79" t="e">
        <f>INDEX(tblProjects[ID],B39)</f>
        <v>#REF!</v>
      </c>
      <c r="K39" s="79" t="e">
        <f t="shared" si="0"/>
        <v>#REF!</v>
      </c>
      <c r="L39" s="102" t="e">
        <f t="shared" si="1"/>
        <v>#REF!</v>
      </c>
      <c r="M39" s="79" t="e">
        <f>RANK(L39,lstPrjSortItems,$M$13)</f>
        <v>#REF!</v>
      </c>
      <c r="O39" s="79" t="e">
        <f t="shared" si="2"/>
        <v>#N/A</v>
      </c>
    </row>
    <row r="40" spans="2:15" x14ac:dyDescent="0.3">
      <c r="B40" s="79">
        <v>26</v>
      </c>
      <c r="C40" s="79" t="e">
        <f>INDEX(tblProjects[Project Name],$B40)</f>
        <v>#REF!</v>
      </c>
      <c r="D40" s="79" t="e">
        <f>INDEX(tblProjects[% Done],$B40)</f>
        <v>#REF!</v>
      </c>
      <c r="E40" s="79" t="e">
        <f>INDEX(tblProjects[Deadline],$B40)</f>
        <v>#REF!</v>
      </c>
      <c r="F40" s="79" t="e">
        <f>INDEX(tblProjects[Spent ($)],$B40)/INDEX(tblProjects[Budget ($)],$B40)</f>
        <v>#REF!</v>
      </c>
      <c r="G40" s="79">
        <f>COUNTIFS(tblIssues[In Project],$C40,tblIssues[Closed?],"&lt;&gt;Yes")</f>
        <v>0</v>
      </c>
      <c r="H40" s="79">
        <f>COUNTIFS(tblRisks[In Project],$C40,tblRisks[Mitigation Plan],"")</f>
        <v>0</v>
      </c>
      <c r="I40" s="79" t="e">
        <f>INDEX(tblProjects[ID],B40)</f>
        <v>#REF!</v>
      </c>
      <c r="K40" s="79" t="e">
        <f t="shared" si="0"/>
        <v>#REF!</v>
      </c>
      <c r="L40" s="102" t="e">
        <f t="shared" si="1"/>
        <v>#REF!</v>
      </c>
      <c r="M40" s="79" t="e">
        <f>RANK(L40,lstPrjSortItems,$M$13)</f>
        <v>#REF!</v>
      </c>
      <c r="O40" s="79" t="e">
        <f t="shared" si="2"/>
        <v>#N/A</v>
      </c>
    </row>
    <row r="41" spans="2:15" x14ac:dyDescent="0.3">
      <c r="B41" s="79">
        <v>27</v>
      </c>
      <c r="C41" s="79" t="e">
        <f>INDEX(tblProjects[Project Name],$B41)</f>
        <v>#REF!</v>
      </c>
      <c r="D41" s="79" t="e">
        <f>INDEX(tblProjects[% Done],$B41)</f>
        <v>#REF!</v>
      </c>
      <c r="E41" s="79" t="e">
        <f>INDEX(tblProjects[Deadline],$B41)</f>
        <v>#REF!</v>
      </c>
      <c r="F41" s="79" t="e">
        <f>INDEX(tblProjects[Spent ($)],$B41)/INDEX(tblProjects[Budget ($)],$B41)</f>
        <v>#REF!</v>
      </c>
      <c r="G41" s="79">
        <f>COUNTIFS(tblIssues[In Project],$C41,tblIssues[Closed?],"&lt;&gt;Yes")</f>
        <v>0</v>
      </c>
      <c r="H41" s="79">
        <f>COUNTIFS(tblRisks[In Project],$C41,tblRisks[Mitigation Plan],"")</f>
        <v>0</v>
      </c>
      <c r="I41" s="79" t="e">
        <f>INDEX(tblProjects[ID],B41)</f>
        <v>#REF!</v>
      </c>
      <c r="K41" s="79" t="e">
        <f t="shared" si="0"/>
        <v>#REF!</v>
      </c>
      <c r="L41" s="102" t="e">
        <f t="shared" si="1"/>
        <v>#REF!</v>
      </c>
      <c r="M41" s="79" t="e">
        <f>RANK(L41,lstPrjSortItems,$M$13)</f>
        <v>#REF!</v>
      </c>
      <c r="O41" s="79" t="e">
        <f t="shared" si="2"/>
        <v>#N/A</v>
      </c>
    </row>
    <row r="42" spans="2:15" x14ac:dyDescent="0.3">
      <c r="B42" s="79">
        <v>28</v>
      </c>
      <c r="C42" s="79" t="e">
        <f>INDEX(tblProjects[Project Name],$B42)</f>
        <v>#REF!</v>
      </c>
      <c r="D42" s="79" t="e">
        <f>INDEX(tblProjects[% Done],$B42)</f>
        <v>#REF!</v>
      </c>
      <c r="E42" s="79" t="e">
        <f>INDEX(tblProjects[Deadline],$B42)</f>
        <v>#REF!</v>
      </c>
      <c r="F42" s="79" t="e">
        <f>INDEX(tblProjects[Spent ($)],$B42)/INDEX(tblProjects[Budget ($)],$B42)</f>
        <v>#REF!</v>
      </c>
      <c r="G42" s="79">
        <f>COUNTIFS(tblIssues[In Project],$C42,tblIssues[Closed?],"&lt;&gt;Yes")</f>
        <v>0</v>
      </c>
      <c r="H42" s="79">
        <f>COUNTIFS(tblRisks[In Project],$C42,tblRisks[Mitigation Plan],"")</f>
        <v>0</v>
      </c>
      <c r="I42" s="79" t="e">
        <f>INDEX(tblProjects[ID],B42)</f>
        <v>#REF!</v>
      </c>
      <c r="K42" s="79" t="e">
        <f t="shared" si="0"/>
        <v>#REF!</v>
      </c>
      <c r="L42" s="102" t="e">
        <f t="shared" si="1"/>
        <v>#REF!</v>
      </c>
      <c r="M42" s="79" t="e">
        <f>RANK(L42,lstPrjSortItems,$M$13)</f>
        <v>#REF!</v>
      </c>
      <c r="O42" s="79" t="e">
        <f t="shared" si="2"/>
        <v>#N/A</v>
      </c>
    </row>
    <row r="43" spans="2:15" x14ac:dyDescent="0.3">
      <c r="B43" s="79">
        <v>29</v>
      </c>
      <c r="C43" s="79" t="e">
        <f>INDEX(tblProjects[Project Name],$B43)</f>
        <v>#REF!</v>
      </c>
      <c r="D43" s="79" t="e">
        <f>INDEX(tblProjects[% Done],$B43)</f>
        <v>#REF!</v>
      </c>
      <c r="E43" s="79" t="e">
        <f>INDEX(tblProjects[Deadline],$B43)</f>
        <v>#REF!</v>
      </c>
      <c r="F43" s="79" t="e">
        <f>INDEX(tblProjects[Spent ($)],$B43)/INDEX(tblProjects[Budget ($)],$B43)</f>
        <v>#REF!</v>
      </c>
      <c r="G43" s="79">
        <f>COUNTIFS(tblIssues[In Project],$C43,tblIssues[Closed?],"&lt;&gt;Yes")</f>
        <v>0</v>
      </c>
      <c r="H43" s="79">
        <f>COUNTIFS(tblRisks[In Project],$C43,tblRisks[Mitigation Plan],"")</f>
        <v>0</v>
      </c>
      <c r="I43" s="79" t="e">
        <f>INDEX(tblProjects[ID],B43)</f>
        <v>#REF!</v>
      </c>
      <c r="K43" s="79" t="e">
        <f t="shared" si="0"/>
        <v>#REF!</v>
      </c>
      <c r="L43" s="102" t="e">
        <f t="shared" si="1"/>
        <v>#REF!</v>
      </c>
      <c r="M43" s="79" t="e">
        <f>RANK(L43,lstPrjSortItems,$M$13)</f>
        <v>#REF!</v>
      </c>
      <c r="O43" s="79" t="e">
        <f t="shared" si="2"/>
        <v>#N/A</v>
      </c>
    </row>
    <row r="44" spans="2:15" x14ac:dyDescent="0.3">
      <c r="B44" s="79">
        <v>30</v>
      </c>
      <c r="C44" s="79" t="e">
        <f>INDEX(tblProjects[Project Name],$B44)</f>
        <v>#REF!</v>
      </c>
      <c r="D44" s="79" t="e">
        <f>INDEX(tblProjects[% Done],$B44)</f>
        <v>#REF!</v>
      </c>
      <c r="E44" s="79" t="e">
        <f>INDEX(tblProjects[Deadline],$B44)</f>
        <v>#REF!</v>
      </c>
      <c r="F44" s="79" t="e">
        <f>INDEX(tblProjects[Spent ($)],$B44)/INDEX(tblProjects[Budget ($)],$B44)</f>
        <v>#REF!</v>
      </c>
      <c r="G44" s="79">
        <f>COUNTIFS(tblIssues[In Project],$C44,tblIssues[Closed?],"&lt;&gt;Yes")</f>
        <v>0</v>
      </c>
      <c r="H44" s="79">
        <f>COUNTIFS(tblRisks[In Project],$C44,tblRisks[Mitigation Plan],"")</f>
        <v>0</v>
      </c>
      <c r="I44" s="79" t="e">
        <f>INDEX(tblProjects[ID],B44)</f>
        <v>#REF!</v>
      </c>
      <c r="K44" s="79" t="e">
        <f t="shared" si="0"/>
        <v>#REF!</v>
      </c>
      <c r="L44" s="102" t="e">
        <f t="shared" si="1"/>
        <v>#REF!</v>
      </c>
      <c r="M44" s="79" t="e">
        <f>RANK(L44,lstPrjSortItems,$M$13)</f>
        <v>#REF!</v>
      </c>
      <c r="O44" s="79" t="e">
        <f t="shared" si="2"/>
        <v>#N/A</v>
      </c>
    </row>
    <row r="45" spans="2:15" x14ac:dyDescent="0.3">
      <c r="B45" s="79">
        <v>31</v>
      </c>
      <c r="C45" s="79" t="e">
        <f>INDEX(tblProjects[Project Name],$B45)</f>
        <v>#REF!</v>
      </c>
      <c r="D45" s="79" t="e">
        <f>INDEX(tblProjects[% Done],$B45)</f>
        <v>#REF!</v>
      </c>
      <c r="E45" s="79" t="e">
        <f>INDEX(tblProjects[Deadline],$B45)</f>
        <v>#REF!</v>
      </c>
      <c r="F45" s="79" t="e">
        <f>INDEX(tblProjects[Spent ($)],$B45)/INDEX(tblProjects[Budget ($)],$B45)</f>
        <v>#REF!</v>
      </c>
      <c r="G45" s="79">
        <f>COUNTIFS(tblIssues[In Project],$C45,tblIssues[Closed?],"&lt;&gt;Yes")</f>
        <v>0</v>
      </c>
      <c r="H45" s="79">
        <f>COUNTIFS(tblRisks[In Project],$C45,tblRisks[Mitigation Plan],"")</f>
        <v>0</v>
      </c>
      <c r="I45" s="79" t="e">
        <f>INDEX(tblProjects[ID],B45)</f>
        <v>#REF!</v>
      </c>
      <c r="K45" s="79" t="e">
        <f t="shared" si="0"/>
        <v>#REF!</v>
      </c>
      <c r="L45" s="102" t="e">
        <f t="shared" si="1"/>
        <v>#REF!</v>
      </c>
      <c r="M45" s="79" t="e">
        <f>RANK(L45,lstPrjSortItems,$M$13)</f>
        <v>#REF!</v>
      </c>
      <c r="O45" s="79" t="e">
        <f t="shared" si="2"/>
        <v>#N/A</v>
      </c>
    </row>
    <row r="46" spans="2:15" x14ac:dyDescent="0.3">
      <c r="B46" s="79">
        <v>32</v>
      </c>
      <c r="C46" s="79" t="e">
        <f>INDEX(tblProjects[Project Name],$B46)</f>
        <v>#REF!</v>
      </c>
      <c r="D46" s="79" t="e">
        <f>INDEX(tblProjects[% Done],$B46)</f>
        <v>#REF!</v>
      </c>
      <c r="E46" s="79" t="e">
        <f>INDEX(tblProjects[Deadline],$B46)</f>
        <v>#REF!</v>
      </c>
      <c r="F46" s="79" t="e">
        <f>INDEX(tblProjects[Spent ($)],$B46)/INDEX(tblProjects[Budget ($)],$B46)</f>
        <v>#REF!</v>
      </c>
      <c r="G46" s="79">
        <f>COUNTIFS(tblIssues[In Project],$C46,tblIssues[Closed?],"&lt;&gt;Yes")</f>
        <v>0</v>
      </c>
      <c r="H46" s="79">
        <f>COUNTIFS(tblRisks[In Project],$C46,tblRisks[Mitigation Plan],"")</f>
        <v>0</v>
      </c>
      <c r="I46" s="79" t="e">
        <f>INDEX(tblProjects[ID],B46)</f>
        <v>#REF!</v>
      </c>
      <c r="K46" s="79" t="e">
        <f t="shared" si="0"/>
        <v>#REF!</v>
      </c>
      <c r="L46" s="102" t="e">
        <f t="shared" si="1"/>
        <v>#REF!</v>
      </c>
      <c r="M46" s="79" t="e">
        <f>RANK(L46,lstPrjSortItems,$M$13)</f>
        <v>#REF!</v>
      </c>
      <c r="O46" s="79" t="e">
        <f t="shared" si="2"/>
        <v>#N/A</v>
      </c>
    </row>
    <row r="47" spans="2:15" x14ac:dyDescent="0.3">
      <c r="B47" s="79">
        <v>33</v>
      </c>
      <c r="C47" s="79" t="e">
        <f>INDEX(tblProjects[Project Name],$B47)</f>
        <v>#REF!</v>
      </c>
      <c r="D47" s="79" t="e">
        <f>INDEX(tblProjects[% Done],$B47)</f>
        <v>#REF!</v>
      </c>
      <c r="E47" s="79" t="e">
        <f>INDEX(tblProjects[Deadline],$B47)</f>
        <v>#REF!</v>
      </c>
      <c r="F47" s="79" t="e">
        <f>INDEX(tblProjects[Spent ($)],$B47)/INDEX(tblProjects[Budget ($)],$B47)</f>
        <v>#REF!</v>
      </c>
      <c r="G47" s="79">
        <f>COUNTIFS(tblIssues[In Project],$C47,tblIssues[Closed?],"&lt;&gt;Yes")</f>
        <v>0</v>
      </c>
      <c r="H47" s="79">
        <f>COUNTIFS(tblRisks[In Project],$C47,tblRisks[Mitigation Plan],"")</f>
        <v>0</v>
      </c>
      <c r="I47" s="79" t="e">
        <f>INDEX(tblProjects[ID],B47)</f>
        <v>#REF!</v>
      </c>
      <c r="K47" s="79" t="e">
        <f t="shared" ref="K47:K64" si="3">INDEX($D47:$I47,valSortType)</f>
        <v>#REF!</v>
      </c>
      <c r="L47" s="102" t="e">
        <f t="shared" si="1"/>
        <v>#REF!</v>
      </c>
      <c r="M47" s="79" t="e">
        <f>RANK(L47,lstPrjSortItems,$M$13)</f>
        <v>#REF!</v>
      </c>
      <c r="O47" s="79" t="e">
        <f t="shared" si="2"/>
        <v>#N/A</v>
      </c>
    </row>
    <row r="48" spans="2:15" x14ac:dyDescent="0.3">
      <c r="B48" s="79">
        <v>34</v>
      </c>
      <c r="C48" s="79" t="e">
        <f>INDEX(tblProjects[Project Name],$B48)</f>
        <v>#REF!</v>
      </c>
      <c r="D48" s="79" t="e">
        <f>INDEX(tblProjects[% Done],$B48)</f>
        <v>#REF!</v>
      </c>
      <c r="E48" s="79" t="e">
        <f>INDEX(tblProjects[Deadline],$B48)</f>
        <v>#REF!</v>
      </c>
      <c r="F48" s="79" t="e">
        <f>INDEX(tblProjects[Spent ($)],$B48)/INDEX(tblProjects[Budget ($)],$B48)</f>
        <v>#REF!</v>
      </c>
      <c r="G48" s="79">
        <f>COUNTIFS(tblIssues[In Project],$C48,tblIssues[Closed?],"&lt;&gt;Yes")</f>
        <v>0</v>
      </c>
      <c r="H48" s="79">
        <f>COUNTIFS(tblRisks[In Project],$C48,tblRisks[Mitigation Plan],"")</f>
        <v>0</v>
      </c>
      <c r="I48" s="79" t="e">
        <f>INDEX(tblProjects[ID],B48)</f>
        <v>#REF!</v>
      </c>
      <c r="K48" s="79" t="e">
        <f t="shared" si="3"/>
        <v>#REF!</v>
      </c>
      <c r="L48" s="102" t="e">
        <f t="shared" si="1"/>
        <v>#REF!</v>
      </c>
      <c r="M48" s="79" t="e">
        <f>RANK(L48,lstPrjSortItems,$M$13)</f>
        <v>#REF!</v>
      </c>
      <c r="O48" s="79" t="e">
        <f t="shared" si="2"/>
        <v>#N/A</v>
      </c>
    </row>
    <row r="49" spans="2:15" x14ac:dyDescent="0.3">
      <c r="B49" s="79">
        <v>35</v>
      </c>
      <c r="C49" s="79" t="e">
        <f>INDEX(tblProjects[Project Name],$B49)</f>
        <v>#REF!</v>
      </c>
      <c r="D49" s="79" t="e">
        <f>INDEX(tblProjects[% Done],$B49)</f>
        <v>#REF!</v>
      </c>
      <c r="E49" s="79" t="e">
        <f>INDEX(tblProjects[Deadline],$B49)</f>
        <v>#REF!</v>
      </c>
      <c r="F49" s="79" t="e">
        <f>INDEX(tblProjects[Spent ($)],$B49)/INDEX(tblProjects[Budget ($)],$B49)</f>
        <v>#REF!</v>
      </c>
      <c r="G49" s="79">
        <f>COUNTIFS(tblIssues[In Project],$C49,tblIssues[Closed?],"&lt;&gt;Yes")</f>
        <v>0</v>
      </c>
      <c r="H49" s="79">
        <f>COUNTIFS(tblRisks[In Project],$C49,tblRisks[Mitigation Plan],"")</f>
        <v>0</v>
      </c>
      <c r="I49" s="79" t="e">
        <f>INDEX(tblProjects[ID],B49)</f>
        <v>#REF!</v>
      </c>
      <c r="K49" s="79" t="e">
        <f t="shared" si="3"/>
        <v>#REF!</v>
      </c>
      <c r="L49" s="102" t="e">
        <f t="shared" si="1"/>
        <v>#REF!</v>
      </c>
      <c r="M49" s="79" t="e">
        <f>RANK(L49,lstPrjSortItems,$M$13)</f>
        <v>#REF!</v>
      </c>
      <c r="O49" s="79" t="e">
        <f t="shared" si="2"/>
        <v>#N/A</v>
      </c>
    </row>
    <row r="50" spans="2:15" x14ac:dyDescent="0.3">
      <c r="B50" s="79">
        <v>36</v>
      </c>
      <c r="C50" s="79" t="e">
        <f>INDEX(tblProjects[Project Name],$B50)</f>
        <v>#REF!</v>
      </c>
      <c r="D50" s="79" t="e">
        <f>INDEX(tblProjects[% Done],$B50)</f>
        <v>#REF!</v>
      </c>
      <c r="E50" s="79" t="e">
        <f>INDEX(tblProjects[Deadline],$B50)</f>
        <v>#REF!</v>
      </c>
      <c r="F50" s="79" t="e">
        <f>INDEX(tblProjects[Spent ($)],$B50)/INDEX(tblProjects[Budget ($)],$B50)</f>
        <v>#REF!</v>
      </c>
      <c r="G50" s="79">
        <f>COUNTIFS(tblIssues[In Project],$C50,tblIssues[Closed?],"&lt;&gt;Yes")</f>
        <v>0</v>
      </c>
      <c r="H50" s="79">
        <f>COUNTIFS(tblRisks[In Project],$C50,tblRisks[Mitigation Plan],"")</f>
        <v>0</v>
      </c>
      <c r="I50" s="79" t="e">
        <f>INDEX(tblProjects[ID],B50)</f>
        <v>#REF!</v>
      </c>
      <c r="K50" s="79" t="e">
        <f t="shared" si="3"/>
        <v>#REF!</v>
      </c>
      <c r="L50" s="102" t="e">
        <f t="shared" si="1"/>
        <v>#REF!</v>
      </c>
      <c r="M50" s="79" t="e">
        <f>RANK(L50,lstPrjSortItems,$M$13)</f>
        <v>#REF!</v>
      </c>
      <c r="O50" s="79" t="e">
        <f t="shared" si="2"/>
        <v>#N/A</v>
      </c>
    </row>
    <row r="51" spans="2:15" x14ac:dyDescent="0.3">
      <c r="B51" s="79">
        <v>37</v>
      </c>
      <c r="C51" s="79" t="e">
        <f>INDEX(tblProjects[Project Name],$B51)</f>
        <v>#REF!</v>
      </c>
      <c r="D51" s="79" t="e">
        <f>INDEX(tblProjects[% Done],$B51)</f>
        <v>#REF!</v>
      </c>
      <c r="E51" s="79" t="e">
        <f>INDEX(tblProjects[Deadline],$B51)</f>
        <v>#REF!</v>
      </c>
      <c r="F51" s="79" t="e">
        <f>INDEX(tblProjects[Spent ($)],$B51)/INDEX(tblProjects[Budget ($)],$B51)</f>
        <v>#REF!</v>
      </c>
      <c r="G51" s="79">
        <f>COUNTIFS(tblIssues[In Project],$C51,tblIssues[Closed?],"&lt;&gt;Yes")</f>
        <v>0</v>
      </c>
      <c r="H51" s="79">
        <f>COUNTIFS(tblRisks[In Project],$C51,tblRisks[Mitigation Plan],"")</f>
        <v>0</v>
      </c>
      <c r="I51" s="79" t="e">
        <f>INDEX(tblProjects[ID],B51)</f>
        <v>#REF!</v>
      </c>
      <c r="K51" s="79" t="e">
        <f t="shared" si="3"/>
        <v>#REF!</v>
      </c>
      <c r="L51" s="102" t="e">
        <f t="shared" si="1"/>
        <v>#REF!</v>
      </c>
      <c r="M51" s="79" t="e">
        <f>RANK(L51,lstPrjSortItems,$M$13)</f>
        <v>#REF!</v>
      </c>
      <c r="O51" s="79" t="e">
        <f t="shared" si="2"/>
        <v>#N/A</v>
      </c>
    </row>
    <row r="52" spans="2:15" x14ac:dyDescent="0.3">
      <c r="B52" s="79">
        <v>38</v>
      </c>
      <c r="C52" s="79" t="e">
        <f>INDEX(tblProjects[Project Name],$B52)</f>
        <v>#REF!</v>
      </c>
      <c r="D52" s="79" t="e">
        <f>INDEX(tblProjects[% Done],$B52)</f>
        <v>#REF!</v>
      </c>
      <c r="E52" s="79" t="e">
        <f>INDEX(tblProjects[Deadline],$B52)</f>
        <v>#REF!</v>
      </c>
      <c r="F52" s="79" t="e">
        <f>INDEX(tblProjects[Spent ($)],$B52)/INDEX(tblProjects[Budget ($)],$B52)</f>
        <v>#REF!</v>
      </c>
      <c r="G52" s="79">
        <f>COUNTIFS(tblIssues[In Project],$C52,tblIssues[Closed?],"&lt;&gt;Yes")</f>
        <v>0</v>
      </c>
      <c r="H52" s="79">
        <f>COUNTIFS(tblRisks[In Project],$C52,tblRisks[Mitigation Plan],"")</f>
        <v>0</v>
      </c>
      <c r="I52" s="79" t="e">
        <f>INDEX(tblProjects[ID],B52)</f>
        <v>#REF!</v>
      </c>
      <c r="K52" s="79" t="e">
        <f t="shared" si="3"/>
        <v>#REF!</v>
      </c>
      <c r="L52" s="102" t="e">
        <f t="shared" si="1"/>
        <v>#REF!</v>
      </c>
      <c r="M52" s="79" t="e">
        <f>RANK(L52,lstPrjSortItems,$M$13)</f>
        <v>#REF!</v>
      </c>
      <c r="O52" s="79" t="e">
        <f t="shared" si="2"/>
        <v>#N/A</v>
      </c>
    </row>
    <row r="53" spans="2:15" x14ac:dyDescent="0.3">
      <c r="B53" s="79">
        <v>39</v>
      </c>
      <c r="C53" s="79" t="e">
        <f>INDEX(tblProjects[Project Name],$B53)</f>
        <v>#REF!</v>
      </c>
      <c r="D53" s="79" t="e">
        <f>INDEX(tblProjects[% Done],$B53)</f>
        <v>#REF!</v>
      </c>
      <c r="E53" s="79" t="e">
        <f>INDEX(tblProjects[Deadline],$B53)</f>
        <v>#REF!</v>
      </c>
      <c r="F53" s="79" t="e">
        <f>INDEX(tblProjects[Spent ($)],$B53)/INDEX(tblProjects[Budget ($)],$B53)</f>
        <v>#REF!</v>
      </c>
      <c r="G53" s="79">
        <f>COUNTIFS(tblIssues[In Project],$C53,tblIssues[Closed?],"&lt;&gt;Yes")</f>
        <v>0</v>
      </c>
      <c r="H53" s="79">
        <f>COUNTIFS(tblRisks[In Project],$C53,tblRisks[Mitigation Plan],"")</f>
        <v>0</v>
      </c>
      <c r="I53" s="79" t="e">
        <f>INDEX(tblProjects[ID],B53)</f>
        <v>#REF!</v>
      </c>
      <c r="K53" s="79" t="e">
        <f t="shared" si="3"/>
        <v>#REF!</v>
      </c>
      <c r="L53" s="102" t="e">
        <f t="shared" si="1"/>
        <v>#REF!</v>
      </c>
      <c r="M53" s="79" t="e">
        <f>RANK(L53,lstPrjSortItems,$M$13)</f>
        <v>#REF!</v>
      </c>
      <c r="O53" s="79" t="e">
        <f t="shared" si="2"/>
        <v>#N/A</v>
      </c>
    </row>
    <row r="54" spans="2:15" x14ac:dyDescent="0.3">
      <c r="B54" s="79">
        <v>40</v>
      </c>
      <c r="C54" s="79" t="e">
        <f>INDEX(tblProjects[Project Name],$B54)</f>
        <v>#REF!</v>
      </c>
      <c r="D54" s="79" t="e">
        <f>INDEX(tblProjects[% Done],$B54)</f>
        <v>#REF!</v>
      </c>
      <c r="E54" s="79" t="e">
        <f>INDEX(tblProjects[Deadline],$B54)</f>
        <v>#REF!</v>
      </c>
      <c r="F54" s="79" t="e">
        <f>INDEX(tblProjects[Spent ($)],$B54)/INDEX(tblProjects[Budget ($)],$B54)</f>
        <v>#REF!</v>
      </c>
      <c r="G54" s="79">
        <f>COUNTIFS(tblIssues[In Project],$C54,tblIssues[Closed?],"&lt;&gt;Yes")</f>
        <v>0</v>
      </c>
      <c r="H54" s="79">
        <f>COUNTIFS(tblRisks[In Project],$C54,tblRisks[Mitigation Plan],"")</f>
        <v>0</v>
      </c>
      <c r="I54" s="79" t="e">
        <f>INDEX(tblProjects[ID],B54)</f>
        <v>#REF!</v>
      </c>
      <c r="K54" s="79" t="e">
        <f t="shared" si="3"/>
        <v>#REF!</v>
      </c>
      <c r="L54" s="102" t="e">
        <f t="shared" si="1"/>
        <v>#REF!</v>
      </c>
      <c r="M54" s="79" t="e">
        <f>RANK(L54,lstPrjSortItems,$M$13)</f>
        <v>#REF!</v>
      </c>
      <c r="O54" s="79" t="e">
        <f t="shared" si="2"/>
        <v>#N/A</v>
      </c>
    </row>
    <row r="55" spans="2:15" x14ac:dyDescent="0.3">
      <c r="B55" s="79">
        <v>41</v>
      </c>
      <c r="C55" s="79" t="e">
        <f>INDEX(tblProjects[Project Name],$B55)</f>
        <v>#REF!</v>
      </c>
      <c r="D55" s="79" t="e">
        <f>INDEX(tblProjects[% Done],$B55)</f>
        <v>#REF!</v>
      </c>
      <c r="E55" s="79" t="e">
        <f>INDEX(tblProjects[Deadline],$B55)</f>
        <v>#REF!</v>
      </c>
      <c r="F55" s="79" t="e">
        <f>INDEX(tblProjects[Spent ($)],$B55)/INDEX(tblProjects[Budget ($)],$B55)</f>
        <v>#REF!</v>
      </c>
      <c r="G55" s="79">
        <f>COUNTIFS(tblIssues[In Project],$C55,tblIssues[Closed?],"&lt;&gt;Yes")</f>
        <v>0</v>
      </c>
      <c r="H55" s="79">
        <f>COUNTIFS(tblRisks[In Project],$C55,tblRisks[Mitigation Plan],"")</f>
        <v>0</v>
      </c>
      <c r="I55" s="79" t="e">
        <f>INDEX(tblProjects[ID],B55)</f>
        <v>#REF!</v>
      </c>
      <c r="K55" s="79" t="e">
        <f t="shared" si="3"/>
        <v>#REF!</v>
      </c>
      <c r="L55" s="102" t="e">
        <f t="shared" si="1"/>
        <v>#REF!</v>
      </c>
      <c r="M55" s="79" t="e">
        <f>RANK(L55,lstPrjSortItems,$M$13)</f>
        <v>#REF!</v>
      </c>
      <c r="O55" s="79" t="e">
        <f t="shared" si="2"/>
        <v>#N/A</v>
      </c>
    </row>
    <row r="56" spans="2:15" x14ac:dyDescent="0.3">
      <c r="B56" s="79">
        <v>42</v>
      </c>
      <c r="C56" s="79" t="e">
        <f>INDEX(tblProjects[Project Name],$B56)</f>
        <v>#REF!</v>
      </c>
      <c r="D56" s="79" t="e">
        <f>INDEX(tblProjects[% Done],$B56)</f>
        <v>#REF!</v>
      </c>
      <c r="E56" s="79" t="e">
        <f>INDEX(tblProjects[Deadline],$B56)</f>
        <v>#REF!</v>
      </c>
      <c r="F56" s="79" t="e">
        <f>INDEX(tblProjects[Spent ($)],$B56)/INDEX(tblProjects[Budget ($)],$B56)</f>
        <v>#REF!</v>
      </c>
      <c r="G56" s="79">
        <f>COUNTIFS(tblIssues[In Project],$C56,tblIssues[Closed?],"&lt;&gt;Yes")</f>
        <v>0</v>
      </c>
      <c r="H56" s="79">
        <f>COUNTIFS(tblRisks[In Project],$C56,tblRisks[Mitigation Plan],"")</f>
        <v>0</v>
      </c>
      <c r="I56" s="79" t="e">
        <f>INDEX(tblProjects[ID],B56)</f>
        <v>#REF!</v>
      </c>
      <c r="K56" s="79" t="e">
        <f t="shared" si="3"/>
        <v>#REF!</v>
      </c>
      <c r="L56" s="102" t="e">
        <f t="shared" si="1"/>
        <v>#REF!</v>
      </c>
      <c r="M56" s="79" t="e">
        <f>RANK(L56,lstPrjSortItems,$M$13)</f>
        <v>#REF!</v>
      </c>
      <c r="O56" s="79" t="e">
        <f t="shared" si="2"/>
        <v>#N/A</v>
      </c>
    </row>
    <row r="57" spans="2:15" x14ac:dyDescent="0.3">
      <c r="B57" s="79">
        <v>43</v>
      </c>
      <c r="C57" s="79" t="e">
        <f>INDEX(tblProjects[Project Name],$B57)</f>
        <v>#REF!</v>
      </c>
      <c r="D57" s="79" t="e">
        <f>INDEX(tblProjects[% Done],$B57)</f>
        <v>#REF!</v>
      </c>
      <c r="E57" s="79" t="e">
        <f>INDEX(tblProjects[Deadline],$B57)</f>
        <v>#REF!</v>
      </c>
      <c r="F57" s="79" t="e">
        <f>INDEX(tblProjects[Spent ($)],$B57)/INDEX(tblProjects[Budget ($)],$B57)</f>
        <v>#REF!</v>
      </c>
      <c r="G57" s="79">
        <f>COUNTIFS(tblIssues[In Project],$C57,tblIssues[Closed?],"&lt;&gt;Yes")</f>
        <v>0</v>
      </c>
      <c r="H57" s="79">
        <f>COUNTIFS(tblRisks[In Project],$C57,tblRisks[Mitigation Plan],"")</f>
        <v>0</v>
      </c>
      <c r="I57" s="79" t="e">
        <f>INDEX(tblProjects[ID],B57)</f>
        <v>#REF!</v>
      </c>
      <c r="K57" s="79" t="e">
        <f t="shared" si="3"/>
        <v>#REF!</v>
      </c>
      <c r="L57" s="102" t="e">
        <f t="shared" si="1"/>
        <v>#REF!</v>
      </c>
      <c r="M57" s="79" t="e">
        <f>RANK(L57,lstPrjSortItems,$M$13)</f>
        <v>#REF!</v>
      </c>
      <c r="O57" s="79" t="e">
        <f t="shared" si="2"/>
        <v>#N/A</v>
      </c>
    </row>
    <row r="58" spans="2:15" x14ac:dyDescent="0.3">
      <c r="B58" s="79">
        <v>44</v>
      </c>
      <c r="C58" s="79" t="e">
        <f>INDEX(tblProjects[Project Name],$B58)</f>
        <v>#REF!</v>
      </c>
      <c r="D58" s="79" t="e">
        <f>INDEX(tblProjects[% Done],$B58)</f>
        <v>#REF!</v>
      </c>
      <c r="E58" s="79" t="e">
        <f>INDEX(tblProjects[Deadline],$B58)</f>
        <v>#REF!</v>
      </c>
      <c r="F58" s="79" t="e">
        <f>INDEX(tblProjects[Spent ($)],$B58)/INDEX(tblProjects[Budget ($)],$B58)</f>
        <v>#REF!</v>
      </c>
      <c r="G58" s="79">
        <f>COUNTIFS(tblIssues[In Project],$C58,tblIssues[Closed?],"&lt;&gt;Yes")</f>
        <v>0</v>
      </c>
      <c r="H58" s="79">
        <f>COUNTIFS(tblRisks[In Project],$C58,tblRisks[Mitigation Plan],"")</f>
        <v>0</v>
      </c>
      <c r="I58" s="79" t="e">
        <f>INDEX(tblProjects[ID],B58)</f>
        <v>#REF!</v>
      </c>
      <c r="K58" s="79" t="e">
        <f t="shared" si="3"/>
        <v>#REF!</v>
      </c>
      <c r="L58" s="102" t="e">
        <f t="shared" si="1"/>
        <v>#REF!</v>
      </c>
      <c r="M58" s="79" t="e">
        <f>RANK(L58,lstPrjSortItems,$M$13)</f>
        <v>#REF!</v>
      </c>
      <c r="O58" s="79" t="e">
        <f t="shared" si="2"/>
        <v>#N/A</v>
      </c>
    </row>
    <row r="59" spans="2:15" x14ac:dyDescent="0.3">
      <c r="B59" s="79">
        <v>45</v>
      </c>
      <c r="C59" s="79" t="e">
        <f>INDEX(tblProjects[Project Name],$B59)</f>
        <v>#REF!</v>
      </c>
      <c r="D59" s="79" t="e">
        <f>INDEX(tblProjects[% Done],$B59)</f>
        <v>#REF!</v>
      </c>
      <c r="E59" s="79" t="e">
        <f>INDEX(tblProjects[Deadline],$B59)</f>
        <v>#REF!</v>
      </c>
      <c r="F59" s="79" t="e">
        <f>INDEX(tblProjects[Spent ($)],$B59)/INDEX(tblProjects[Budget ($)],$B59)</f>
        <v>#REF!</v>
      </c>
      <c r="G59" s="79">
        <f>COUNTIFS(tblIssues[In Project],$C59,tblIssues[Closed?],"&lt;&gt;Yes")</f>
        <v>0</v>
      </c>
      <c r="H59" s="79">
        <f>COUNTIFS(tblRisks[In Project],$C59,tblRisks[Mitigation Plan],"")</f>
        <v>0</v>
      </c>
      <c r="I59" s="79" t="e">
        <f>INDEX(tblProjects[ID],B59)</f>
        <v>#REF!</v>
      </c>
      <c r="K59" s="79" t="e">
        <f t="shared" si="3"/>
        <v>#REF!</v>
      </c>
      <c r="L59" s="102" t="e">
        <f t="shared" si="1"/>
        <v>#REF!</v>
      </c>
      <c r="M59" s="79" t="e">
        <f>RANK(L59,lstPrjSortItems,$M$13)</f>
        <v>#REF!</v>
      </c>
      <c r="O59" s="79" t="e">
        <f t="shared" si="2"/>
        <v>#N/A</v>
      </c>
    </row>
    <row r="60" spans="2:15" x14ac:dyDescent="0.3">
      <c r="B60" s="79">
        <v>46</v>
      </c>
      <c r="C60" s="79" t="e">
        <f>INDEX(tblProjects[Project Name],$B60)</f>
        <v>#REF!</v>
      </c>
      <c r="D60" s="79" t="e">
        <f>INDEX(tblProjects[% Done],$B60)</f>
        <v>#REF!</v>
      </c>
      <c r="E60" s="79" t="e">
        <f>INDEX(tblProjects[Deadline],$B60)</f>
        <v>#REF!</v>
      </c>
      <c r="F60" s="79" t="e">
        <f>INDEX(tblProjects[Spent ($)],$B60)/INDEX(tblProjects[Budget ($)],$B60)</f>
        <v>#REF!</v>
      </c>
      <c r="G60" s="79">
        <f>COUNTIFS(tblIssues[In Project],$C60,tblIssues[Closed?],"&lt;&gt;Yes")</f>
        <v>0</v>
      </c>
      <c r="H60" s="79">
        <f>COUNTIFS(tblRisks[In Project],$C60,tblRisks[Mitigation Plan],"")</f>
        <v>0</v>
      </c>
      <c r="I60" s="79" t="e">
        <f>INDEX(tblProjects[ID],B60)</f>
        <v>#REF!</v>
      </c>
      <c r="K60" s="79" t="e">
        <f t="shared" si="3"/>
        <v>#REF!</v>
      </c>
      <c r="L60" s="102" t="e">
        <f t="shared" si="1"/>
        <v>#REF!</v>
      </c>
      <c r="M60" s="79" t="e">
        <f>RANK(L60,lstPrjSortItems,$M$13)</f>
        <v>#REF!</v>
      </c>
      <c r="O60" s="79" t="e">
        <f t="shared" si="2"/>
        <v>#N/A</v>
      </c>
    </row>
    <row r="61" spans="2:15" x14ac:dyDescent="0.3">
      <c r="B61" s="79">
        <v>47</v>
      </c>
      <c r="C61" s="79" t="e">
        <f>INDEX(tblProjects[Project Name],$B61)</f>
        <v>#REF!</v>
      </c>
      <c r="D61" s="79" t="e">
        <f>INDEX(tblProjects[% Done],$B61)</f>
        <v>#REF!</v>
      </c>
      <c r="E61" s="79" t="e">
        <f>INDEX(tblProjects[Deadline],$B61)</f>
        <v>#REF!</v>
      </c>
      <c r="F61" s="79" t="e">
        <f>INDEX(tblProjects[Spent ($)],$B61)/INDEX(tblProjects[Budget ($)],$B61)</f>
        <v>#REF!</v>
      </c>
      <c r="G61" s="79">
        <f>COUNTIFS(tblIssues[In Project],$C61,tblIssues[Closed?],"&lt;&gt;Yes")</f>
        <v>0</v>
      </c>
      <c r="H61" s="79">
        <f>COUNTIFS(tblRisks[In Project],$C61,tblRisks[Mitigation Plan],"")</f>
        <v>0</v>
      </c>
      <c r="I61" s="79" t="e">
        <f>INDEX(tblProjects[ID],B61)</f>
        <v>#REF!</v>
      </c>
      <c r="K61" s="79" t="e">
        <f t="shared" si="3"/>
        <v>#REF!</v>
      </c>
      <c r="L61" s="102" t="e">
        <f t="shared" si="1"/>
        <v>#REF!</v>
      </c>
      <c r="M61" s="79" t="e">
        <f>RANK(L61,lstPrjSortItems,$M$13)</f>
        <v>#REF!</v>
      </c>
      <c r="O61" s="79" t="e">
        <f t="shared" si="2"/>
        <v>#N/A</v>
      </c>
    </row>
    <row r="62" spans="2:15" x14ac:dyDescent="0.3">
      <c r="B62" s="79">
        <v>48</v>
      </c>
      <c r="C62" s="79" t="e">
        <f>INDEX(tblProjects[Project Name],$B62)</f>
        <v>#REF!</v>
      </c>
      <c r="D62" s="79" t="e">
        <f>INDEX(tblProjects[% Done],$B62)</f>
        <v>#REF!</v>
      </c>
      <c r="E62" s="79" t="e">
        <f>INDEX(tblProjects[Deadline],$B62)</f>
        <v>#REF!</v>
      </c>
      <c r="F62" s="79" t="e">
        <f>INDEX(tblProjects[Spent ($)],$B62)/INDEX(tblProjects[Budget ($)],$B62)</f>
        <v>#REF!</v>
      </c>
      <c r="G62" s="79">
        <f>COUNTIFS(tblIssues[In Project],$C62,tblIssues[Closed?],"&lt;&gt;Yes")</f>
        <v>0</v>
      </c>
      <c r="H62" s="79">
        <f>COUNTIFS(tblRisks[In Project],$C62,tblRisks[Mitigation Plan],"")</f>
        <v>0</v>
      </c>
      <c r="I62" s="79" t="e">
        <f>INDEX(tblProjects[ID],B62)</f>
        <v>#REF!</v>
      </c>
      <c r="K62" s="79" t="e">
        <f t="shared" si="3"/>
        <v>#REF!</v>
      </c>
      <c r="L62" s="102" t="e">
        <f t="shared" si="1"/>
        <v>#REF!</v>
      </c>
      <c r="M62" s="79" t="e">
        <f>RANK(L62,lstPrjSortItems,$M$13)</f>
        <v>#REF!</v>
      </c>
      <c r="O62" s="79" t="e">
        <f t="shared" si="2"/>
        <v>#N/A</v>
      </c>
    </row>
    <row r="63" spans="2:15" x14ac:dyDescent="0.3">
      <c r="B63" s="79">
        <v>49</v>
      </c>
      <c r="C63" s="79" t="e">
        <f>INDEX(tblProjects[Project Name],$B63)</f>
        <v>#REF!</v>
      </c>
      <c r="D63" s="79" t="e">
        <f>INDEX(tblProjects[% Done],$B63)</f>
        <v>#REF!</v>
      </c>
      <c r="E63" s="79" t="e">
        <f>INDEX(tblProjects[Deadline],$B63)</f>
        <v>#REF!</v>
      </c>
      <c r="F63" s="79" t="e">
        <f>INDEX(tblProjects[Spent ($)],$B63)/INDEX(tblProjects[Budget ($)],$B63)</f>
        <v>#REF!</v>
      </c>
      <c r="G63" s="79">
        <f>COUNTIFS(tblIssues[In Project],$C63,tblIssues[Closed?],"&lt;&gt;Yes")</f>
        <v>0</v>
      </c>
      <c r="H63" s="79">
        <f>COUNTIFS(tblRisks[In Project],$C63,tblRisks[Mitigation Plan],"")</f>
        <v>0</v>
      </c>
      <c r="I63" s="79" t="e">
        <f>INDEX(tblProjects[ID],B63)</f>
        <v>#REF!</v>
      </c>
      <c r="K63" s="79" t="e">
        <f t="shared" si="3"/>
        <v>#REF!</v>
      </c>
      <c r="L63" s="102" t="e">
        <f t="shared" si="1"/>
        <v>#REF!</v>
      </c>
      <c r="M63" s="79" t="e">
        <f>RANK(L63,lstPrjSortItems,$M$13)</f>
        <v>#REF!</v>
      </c>
      <c r="O63" s="79" t="e">
        <f t="shared" si="2"/>
        <v>#N/A</v>
      </c>
    </row>
    <row r="64" spans="2:15" x14ac:dyDescent="0.3">
      <c r="B64" s="79">
        <v>50</v>
      </c>
      <c r="C64" s="79" t="e">
        <f>INDEX(tblProjects[Project Name],$B64)</f>
        <v>#REF!</v>
      </c>
      <c r="D64" s="79" t="e">
        <f>INDEX(tblProjects[% Done],$B64)</f>
        <v>#REF!</v>
      </c>
      <c r="E64" s="79" t="e">
        <f>INDEX(tblProjects[Deadline],$B64)</f>
        <v>#REF!</v>
      </c>
      <c r="F64" s="79" t="e">
        <f>INDEX(tblProjects[Spent ($)],$B64)/INDEX(tblProjects[Budget ($)],$B64)</f>
        <v>#REF!</v>
      </c>
      <c r="G64" s="79">
        <f>COUNTIFS(tblIssues[In Project],$C64,tblIssues[Closed?],"&lt;&gt;Yes")</f>
        <v>0</v>
      </c>
      <c r="H64" s="79">
        <f>COUNTIFS(tblRisks[In Project],$C64,tblRisks[Mitigation Plan],"")</f>
        <v>0</v>
      </c>
      <c r="I64" s="79" t="e">
        <f>INDEX(tblProjects[ID],B64)</f>
        <v>#REF!</v>
      </c>
      <c r="K64" s="79" t="e">
        <f t="shared" si="3"/>
        <v>#REF!</v>
      </c>
      <c r="L64" s="102" t="e">
        <f t="shared" si="1"/>
        <v>#REF!</v>
      </c>
      <c r="M64" s="79" t="e">
        <f>RANK(L64,lstPrjSortItems,$M$13)</f>
        <v>#REF!</v>
      </c>
      <c r="O64" s="79" t="e">
        <f t="shared" si="2"/>
        <v>#N/A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0" tint="-0.249977111117893"/>
  </sheetPr>
  <dimension ref="A1:AJ164"/>
  <sheetViews>
    <sheetView showGridLines="0" workbookViewId="0">
      <selection activeCell="I1" sqref="I1"/>
    </sheetView>
  </sheetViews>
  <sheetFormatPr defaultRowHeight="15.75" x14ac:dyDescent="0.3"/>
  <cols>
    <col min="1" max="1" width="4.6640625" customWidth="1"/>
    <col min="2" max="2" width="16.33203125" customWidth="1"/>
    <col min="3" max="3" width="32.109375" customWidth="1"/>
    <col min="4" max="5" width="10.6640625" customWidth="1"/>
    <col min="6" max="6" width="9.6640625" customWidth="1"/>
    <col min="7" max="7" width="9.77734375" customWidth="1"/>
    <col min="8" max="8" width="10.77734375" customWidth="1"/>
    <col min="9" max="9" width="11.6640625" customWidth="1"/>
    <col min="10" max="10" width="10.44140625" customWidth="1"/>
    <col min="16" max="16" width="2.33203125" customWidth="1"/>
    <col min="17" max="18" width="3.44140625" customWidth="1"/>
    <col min="19" max="19" width="2.33203125" customWidth="1"/>
    <col min="20" max="21" width="3.44140625" customWidth="1"/>
    <col min="22" max="22" width="2.33203125" customWidth="1"/>
    <col min="23" max="24" width="3.44140625" customWidth="1"/>
    <col min="25" max="25" width="2.33203125" customWidth="1"/>
    <col min="26" max="26" width="3.44140625" customWidth="1"/>
    <col min="27" max="27" width="3.88671875" customWidth="1"/>
    <col min="53" max="53" width="21.33203125" customWidth="1"/>
    <col min="54" max="54" width="10.6640625" customWidth="1"/>
    <col min="56" max="56" width="8.33203125" customWidth="1"/>
    <col min="57" max="57" width="1.33203125" customWidth="1"/>
    <col min="58" max="147" width="1.21875" customWidth="1"/>
  </cols>
  <sheetData>
    <row r="1" spans="1:36" ht="27" x14ac:dyDescent="0.45">
      <c r="A1" s="175"/>
      <c r="B1" s="176" t="s">
        <v>246</v>
      </c>
      <c r="C1" s="175"/>
      <c r="D1" s="175"/>
      <c r="E1" s="175"/>
      <c r="F1" s="178" t="s">
        <v>176</v>
      </c>
      <c r="G1" s="177"/>
      <c r="H1" s="177"/>
      <c r="P1" t="s">
        <v>183</v>
      </c>
      <c r="V1" t="s">
        <v>184</v>
      </c>
    </row>
    <row r="2" spans="1:36" x14ac:dyDescent="0.3">
      <c r="P2" s="79">
        <v>5</v>
      </c>
      <c r="Q2" s="79">
        <v>4</v>
      </c>
      <c r="R2" s="79">
        <v>3</v>
      </c>
      <c r="S2" s="79">
        <v>2</v>
      </c>
      <c r="T2" s="79">
        <v>1</v>
      </c>
      <c r="V2" s="79">
        <f>P2</f>
        <v>5</v>
      </c>
      <c r="W2" s="79">
        <f t="shared" ref="W2:Z2" si="0">Q2</f>
        <v>4</v>
      </c>
      <c r="X2" s="79">
        <f t="shared" si="0"/>
        <v>3</v>
      </c>
      <c r="Y2" s="79">
        <f t="shared" si="0"/>
        <v>2</v>
      </c>
      <c r="Z2" s="79">
        <f t="shared" si="0"/>
        <v>1</v>
      </c>
      <c r="AE2">
        <v>20</v>
      </c>
      <c r="AF2" s="79" t="s">
        <v>186</v>
      </c>
      <c r="AG2" s="79">
        <f ca="1">COUNTIFS(F9:F13,"&lt;="&amp;EDATE(TODAY(),6),F9:F13,"&gt;"&amp;TODAY())</f>
        <v>0</v>
      </c>
      <c r="AH2" s="79" t="str">
        <f ca="1">IF(AG2=1," project ends"," projects end")</f>
        <v xml:space="preserve"> projects end</v>
      </c>
      <c r="AI2" s="195" t="str">
        <f ca="1">AG2&amp;CHAR(10)&amp;AG3&amp;CHAR(10)&amp;AG4&amp;CHAR(10)&amp;AG5</f>
        <v>0
0
0
0</v>
      </c>
      <c r="AJ2" s="196" t="str">
        <f ca="1">AH2&amp;CHAR(10)&amp;AH3&amp;CHAR(10)&amp;AH4&amp;CHAR(10)&amp;AH5</f>
        <v xml:space="preserve"> projects end
 activities start
 activities end
 issues due</v>
      </c>
    </row>
    <row r="3" spans="1:36" x14ac:dyDescent="0.3">
      <c r="B3" s="79" t="s">
        <v>111</v>
      </c>
      <c r="C3" s="79">
        <f>D3</f>
        <v>1</v>
      </c>
      <c r="D3" s="79">
        <v>1</v>
      </c>
      <c r="F3" s="79" t="s">
        <v>177</v>
      </c>
      <c r="G3" s="100" t="str">
        <f>C4&amp;" Projects"</f>
        <v>8 Projects</v>
      </c>
      <c r="I3" s="79" t="s">
        <v>178</v>
      </c>
      <c r="J3" s="79">
        <f>SUM(tblProjects[Budget ($)])</f>
        <v>3207000</v>
      </c>
      <c r="K3" s="79" t="str">
        <f>TEXT(J3,"$##,,.0")&amp;" mn"</f>
        <v>$3.2 mn</v>
      </c>
      <c r="L3" s="100" t="s">
        <v>182</v>
      </c>
      <c r="M3" s="79" t="str">
        <f>SUM(tblProjects[Team Size])&amp;" members"</f>
        <v>225 members</v>
      </c>
      <c r="O3" s="79" t="s">
        <v>93</v>
      </c>
      <c r="P3" s="79">
        <f>COUNTIF(tblRisks[Severity],P$2)</f>
        <v>6</v>
      </c>
      <c r="Q3" s="79">
        <f>COUNTIF(tblRisks[Severity],Q$2)</f>
        <v>1</v>
      </c>
      <c r="R3" s="79">
        <f>COUNTIF(tblRisks[Severity],R$2)</f>
        <v>7</v>
      </c>
      <c r="S3" s="79">
        <f>COUNTIF(tblRisks[Severity],S$2)</f>
        <v>5</v>
      </c>
      <c r="T3" s="79">
        <f>COUNTIF(tblRisks[Severity],T$2)</f>
        <v>6</v>
      </c>
      <c r="U3" s="141" t="str">
        <f>SUM(P3:T3)&amp;" Risks"</f>
        <v>25 Risks</v>
      </c>
      <c r="V3" s="101">
        <f>P3/SUM($P3:$T3)</f>
        <v>0.24</v>
      </c>
      <c r="W3" s="101">
        <f t="shared" ref="W3:W4" si="1">Q3/SUM($P3:$T3)</f>
        <v>0.04</v>
      </c>
      <c r="X3" s="101">
        <f t="shared" ref="X3:X4" si="2">R3/SUM($P3:$T3)</f>
        <v>0.28000000000000003</v>
      </c>
      <c r="Y3" s="101">
        <f t="shared" ref="Y3:Y4" si="3">S3/SUM($P3:$T3)</f>
        <v>0.2</v>
      </c>
      <c r="Z3" s="101">
        <f t="shared" ref="Z3:Z4" si="4">T3/SUM($P3:$T3)</f>
        <v>0.24</v>
      </c>
      <c r="AB3" s="79"/>
      <c r="AD3" s="79" t="s">
        <v>185</v>
      </c>
      <c r="AE3" s="98">
        <f>MAX(F9:F13)</f>
        <v>41833</v>
      </c>
      <c r="AF3" s="79" t="s">
        <v>227</v>
      </c>
      <c r="AG3" s="79">
        <f ca="1">SUM(AF9:AF13)</f>
        <v>0</v>
      </c>
      <c r="AH3" s="79" t="str">
        <f ca="1">IF(AG3=1," activity starts", " activities start")</f>
        <v xml:space="preserve"> activities start</v>
      </c>
      <c r="AI3" s="195"/>
      <c r="AJ3" s="196"/>
    </row>
    <row r="4" spans="1:36" x14ac:dyDescent="0.3">
      <c r="B4" s="79" t="s">
        <v>112</v>
      </c>
      <c r="C4" s="79">
        <f>COUNTA(lstProjects)</f>
        <v>8</v>
      </c>
      <c r="F4" s="79" t="s">
        <v>181</v>
      </c>
      <c r="G4" s="179">
        <f>SUMPRODUCT(tblProjects[% Done],tblProjects[Budget ($)])/J3</f>
        <v>0.82439975054568138</v>
      </c>
      <c r="I4" s="79" t="s">
        <v>179</v>
      </c>
      <c r="J4" s="79">
        <f>SUM(tblProjects[Spent ($)])</f>
        <v>2409613</v>
      </c>
      <c r="K4" s="79" t="str">
        <f>TEXT(J4,"$##,,.0")&amp;" mn spent"</f>
        <v>$2.4 mn spent</v>
      </c>
      <c r="O4" s="79" t="s">
        <v>98</v>
      </c>
      <c r="P4" s="79">
        <f>COUNTIFS(tblIssues[Criticality],P$2,tblIssues[Closed?],"&lt;&gt;Yes")</f>
        <v>3</v>
      </c>
      <c r="Q4" s="79">
        <f>COUNTIFS(tblIssues[Criticality],Q$2,tblIssues[Closed?],"&lt;&gt;Yes")</f>
        <v>6</v>
      </c>
      <c r="R4" s="79">
        <f>COUNTIFS(tblIssues[Criticality],R$2,tblIssues[Closed?],"&lt;&gt;Yes")</f>
        <v>7</v>
      </c>
      <c r="S4" s="79">
        <f>COUNTIFS(tblIssues[Criticality],S$2,tblIssues[Closed?],"&lt;&gt;Yes")</f>
        <v>4</v>
      </c>
      <c r="T4" s="79">
        <f>COUNTIFS(tblIssues[Criticality],T$2,tblIssues[Closed?],"&lt;&gt;Yes")</f>
        <v>3</v>
      </c>
      <c r="U4" s="141" t="str">
        <f>SUM(P4:T4)&amp;" Open"</f>
        <v>23 Open</v>
      </c>
      <c r="V4" s="101">
        <f t="shared" ref="V4" si="5">P4/SUM($P4:$T4)</f>
        <v>0.13043478260869565</v>
      </c>
      <c r="W4" s="101">
        <f t="shared" si="1"/>
        <v>0.2608695652173913</v>
      </c>
      <c r="X4" s="101">
        <f t="shared" si="2"/>
        <v>0.30434782608695654</v>
      </c>
      <c r="Y4" s="101">
        <f t="shared" si="3"/>
        <v>0.17391304347826086</v>
      </c>
      <c r="Z4" s="101">
        <f t="shared" si="4"/>
        <v>0.13043478260869565</v>
      </c>
      <c r="AB4" s="79"/>
      <c r="AD4" s="79" t="s">
        <v>231</v>
      </c>
      <c r="AE4" s="79" t="str">
        <f>INDEX($C$9:$C$13,MATCH(AE3,F9:F13,0))</f>
        <v>Morlott Highway</v>
      </c>
      <c r="AF4" s="79" t="s">
        <v>230</v>
      </c>
      <c r="AG4" s="79">
        <f ca="1">SUM(AG9:AG13)</f>
        <v>0</v>
      </c>
      <c r="AH4" s="79" t="str">
        <f ca="1">IF(AG4=1," activity ends", " activities end")</f>
        <v xml:space="preserve"> activities end</v>
      </c>
      <c r="AI4" s="195"/>
      <c r="AJ4" s="196"/>
    </row>
    <row r="5" spans="1:36" x14ac:dyDescent="0.3">
      <c r="B5" s="79" t="s">
        <v>113</v>
      </c>
      <c r="C5" s="79">
        <v>0</v>
      </c>
      <c r="I5" s="79" t="s">
        <v>180</v>
      </c>
      <c r="J5" s="101">
        <f>J4/J3</f>
        <v>0.75136046149048952</v>
      </c>
      <c r="AD5" s="79" t="s">
        <v>127</v>
      </c>
      <c r="AE5" s="79" t="str">
        <f>"Last: "&amp;LEFT(AE4,$AE$2)&amp;REPT("…",LEN(AE4)&gt;$AE$2)&amp;" in "&amp;TEXT(AE3,"mmm,yyyy")</f>
        <v>Last: Morlott Highway in Jul,2014</v>
      </c>
      <c r="AF5" s="79" t="s">
        <v>98</v>
      </c>
      <c r="AG5" s="79">
        <f ca="1">SUM(AH9:AH13)</f>
        <v>0</v>
      </c>
      <c r="AH5" s="79" t="str">
        <f ca="1">IF(AG5=1," issue due", " issues due")</f>
        <v xml:space="preserve"> issues due</v>
      </c>
      <c r="AI5" s="195"/>
      <c r="AJ5" s="196"/>
    </row>
    <row r="6" spans="1:36" x14ac:dyDescent="0.3">
      <c r="P6" s="23" t="s">
        <v>128</v>
      </c>
      <c r="Q6" s="23"/>
      <c r="R6" s="23"/>
      <c r="S6" s="23" t="s">
        <v>130</v>
      </c>
      <c r="T6" s="23"/>
      <c r="U6" s="23"/>
      <c r="V6" s="23" t="s">
        <v>129</v>
      </c>
      <c r="W6" s="23"/>
      <c r="X6" s="23"/>
      <c r="Y6" s="23" t="s">
        <v>131</v>
      </c>
      <c r="Z6" s="23"/>
      <c r="AA6" s="23" t="s">
        <v>119</v>
      </c>
    </row>
    <row r="7" spans="1:36" x14ac:dyDescent="0.3">
      <c r="N7" t="s">
        <v>126</v>
      </c>
      <c r="P7" t="s">
        <v>127</v>
      </c>
    </row>
    <row r="8" spans="1:36" x14ac:dyDescent="0.3">
      <c r="A8" s="19" t="s">
        <v>114</v>
      </c>
      <c r="B8" s="19" t="s">
        <v>48</v>
      </c>
      <c r="C8" s="20" t="s">
        <v>71</v>
      </c>
      <c r="D8" s="20" t="s">
        <v>4</v>
      </c>
      <c r="E8" s="20" t="s">
        <v>133</v>
      </c>
      <c r="F8" s="20" t="s">
        <v>116</v>
      </c>
      <c r="G8" s="19" t="s">
        <v>7</v>
      </c>
      <c r="H8" s="21" t="s">
        <v>117</v>
      </c>
      <c r="I8" s="21" t="s">
        <v>118</v>
      </c>
      <c r="J8" s="20" t="s">
        <v>120</v>
      </c>
      <c r="K8" s="20" t="s">
        <v>122</v>
      </c>
      <c r="L8" s="20" t="s">
        <v>121</v>
      </c>
      <c r="M8" s="20" t="s">
        <v>124</v>
      </c>
      <c r="N8" s="20" t="s">
        <v>123</v>
      </c>
      <c r="AC8" s="33" t="s">
        <v>4</v>
      </c>
      <c r="AD8" s="33" t="s">
        <v>133</v>
      </c>
      <c r="AF8" s="142" t="s">
        <v>228</v>
      </c>
      <c r="AG8" s="143" t="s">
        <v>219</v>
      </c>
      <c r="AH8" s="143" t="s">
        <v>229</v>
      </c>
    </row>
    <row r="9" spans="1:36" ht="22.5" customHeight="1" x14ac:dyDescent="0.3">
      <c r="A9" s="16">
        <v>1</v>
      </c>
      <c r="B9" s="16">
        <f>INDEX(lstSortedPrjIDs,A9+$C$5)</f>
        <v>1</v>
      </c>
      <c r="C9" s="3" t="str">
        <f t="shared" ref="C9:C18" si="6">IFERROR(INDEX(lstProjects,B9),"")</f>
        <v>ABC Integration</v>
      </c>
      <c r="D9" s="17">
        <f>IFERROR(INDEX(tblProjects[Budget ($)],$B9),"")</f>
        <v>484000</v>
      </c>
      <c r="E9" s="17">
        <f>IFERROR(INDEX(tblProjects[Spent ($)],$B9),"")</f>
        <v>392910</v>
      </c>
      <c r="F9" s="17">
        <f>IFERROR(INDEX(tblProjects[Deadline],$B9),"")</f>
        <v>41741</v>
      </c>
      <c r="G9" s="22">
        <f>IFERROR(INDEX(tblProjects[% Done],$B9),"")</f>
        <v>0.84</v>
      </c>
      <c r="H9" s="18" t="str">
        <f ca="1">IF(F9="","",IF(TODAY()&gt;=F9,IF(G9=1,"Done","Over due"),(DATEDIF(TODAY(),F9,"m")&amp;" months")))</f>
        <v>Over due</v>
      </c>
      <c r="I9" s="18" t="str">
        <f>TEXT(D9,"$ #,")&amp;"k"</f>
        <v>$ 484k</v>
      </c>
      <c r="J9" s="24">
        <f>IFERROR(INDEX(tblProjects[Team Size],$B9),"")</f>
        <v>20</v>
      </c>
      <c r="K9" s="3" t="str">
        <f>IF(C9="","","plan"&amp;B9)</f>
        <v>plan1</v>
      </c>
      <c r="L9" s="3">
        <f ca="1">IF(K9="",0,COUNTA(INDIRECT(K9&amp;"[Activity]")))</f>
        <v>40</v>
      </c>
      <c r="M9" s="3">
        <f>COUNTIFS(tblIssues[In Project],C9,tblIssues[Closed?],"&lt;&gt;Yes")</f>
        <v>6</v>
      </c>
      <c r="N9" s="3">
        <f>COUNTIFS(tblRisks[In Project],C9,tblRisks[Severity],$N$7)</f>
        <v>1</v>
      </c>
      <c r="P9" s="27" t="str">
        <f>$P$6</f>
        <v></v>
      </c>
      <c r="Q9" s="26">
        <f>J9</f>
        <v>20</v>
      </c>
      <c r="R9" s="26"/>
      <c r="S9" s="28" t="str">
        <f>$S$6</f>
        <v>a</v>
      </c>
      <c r="T9" s="29">
        <f ca="1">L9</f>
        <v>40</v>
      </c>
      <c r="U9" s="29"/>
      <c r="V9" s="28" t="str">
        <f>$V$6</f>
        <v>i</v>
      </c>
      <c r="W9" s="30">
        <f>M9</f>
        <v>6</v>
      </c>
      <c r="X9" s="30"/>
      <c r="Y9" s="28" t="str">
        <f>$Y$6</f>
        <v>~</v>
      </c>
      <c r="Z9" s="30">
        <f>N9</f>
        <v>1</v>
      </c>
      <c r="AC9" s="31">
        <v>1</v>
      </c>
      <c r="AD9" s="34">
        <f>E9/D9</f>
        <v>0.81179752066115707</v>
      </c>
      <c r="AF9" s="91">
        <f ca="1">IFERROR(SUMPRODUCT((lstActStarts&lt;=EDATE(TODAY(),6))*(lstActStarts&gt;TODAY())),0)</f>
        <v>0</v>
      </c>
      <c r="AG9" s="91">
        <f t="shared" ref="AG9:AG18" ca="1" si="7">IFERROR(SUMPRODUCT((lstActEnds&lt;=EDATE(TODAY(),6))*(lstActEnds&gt;TODAY())),0)</f>
        <v>0</v>
      </c>
      <c r="AH9" s="79">
        <f ca="1">COUNTIFS(tblIssues[Due date],"&gt;"&amp;TODAY(),tblIssues[Due date],"&lt;="&amp;EDATE(TODAY(),6),tblIssues[Closed?],"",tblIssues[In Project],C9)</f>
        <v>0</v>
      </c>
    </row>
    <row r="10" spans="1:36" ht="22.5" customHeight="1" x14ac:dyDescent="0.3">
      <c r="A10" s="16">
        <v>2</v>
      </c>
      <c r="B10" s="16">
        <f>INDEX(lstSortedPrjIDs,A10+$C$5)</f>
        <v>2</v>
      </c>
      <c r="C10" s="3" t="str">
        <f t="shared" si="6"/>
        <v>Morlott Highway</v>
      </c>
      <c r="D10" s="17">
        <f>IFERROR(INDEX(tblProjects[Budget ($)],$B10),"")</f>
        <v>382000</v>
      </c>
      <c r="E10" s="17">
        <f>IFERROR(INDEX(tblProjects[Spent ($)],$B10),"")</f>
        <v>304893</v>
      </c>
      <c r="F10" s="17">
        <f>IFERROR(INDEX(tblProjects[Deadline],$B10),"")</f>
        <v>41833</v>
      </c>
      <c r="G10" s="22">
        <f>IFERROR(INDEX(tblProjects[% Done],$B10),"")</f>
        <v>0.91</v>
      </c>
      <c r="H10" s="18" t="str">
        <f t="shared" ref="H10:H18" ca="1" si="8">IF(F10="","",IF(TODAY()&gt;=F10,IF(G10=1,"Done","Over due"),(DATEDIF(TODAY(),F10,"m")&amp;" months")))</f>
        <v>Over due</v>
      </c>
      <c r="I10" s="18" t="str">
        <f t="shared" ref="I10:I18" si="9">TEXT(D10,"$ #,")&amp;"k"</f>
        <v>$ 382k</v>
      </c>
      <c r="J10" s="24">
        <f>IFERROR(INDEX(tblProjects[Team Size],$B10),"")</f>
        <v>15</v>
      </c>
      <c r="K10" s="3" t="str">
        <f t="shared" ref="K10:K18" si="10">IF(C10="","","plan"&amp;B10)</f>
        <v>plan2</v>
      </c>
      <c r="L10" s="3">
        <f t="shared" ref="L10:L18" ca="1" si="11">IF(K10="",0,COUNTA(INDIRECT(K10&amp;"[Activity]")))</f>
        <v>40</v>
      </c>
      <c r="M10" s="3">
        <f>COUNTIFS(tblIssues[In Project],C10,tblIssues[Closed?],"&lt;&gt;Yes")</f>
        <v>1</v>
      </c>
      <c r="N10" s="3">
        <f>COUNTIFS(tblRisks[In Project],C10,tblRisks[Severity],$N$7)</f>
        <v>1</v>
      </c>
      <c r="P10" s="27" t="str">
        <f t="shared" ref="P10:P18" si="12">$P$6</f>
        <v></v>
      </c>
      <c r="Q10" s="26">
        <f t="shared" ref="Q10:Q18" si="13">J10</f>
        <v>15</v>
      </c>
      <c r="R10" s="26"/>
      <c r="S10" s="28" t="str">
        <f t="shared" ref="S10:S18" si="14">$S$6</f>
        <v>a</v>
      </c>
      <c r="T10" s="29">
        <f t="shared" ref="T10:T18" ca="1" si="15">L10</f>
        <v>40</v>
      </c>
      <c r="U10" s="29"/>
      <c r="V10" s="28" t="str">
        <f t="shared" ref="V10:V18" si="16">$V$6</f>
        <v>i</v>
      </c>
      <c r="W10" s="30">
        <f t="shared" ref="W10:W18" si="17">M10</f>
        <v>1</v>
      </c>
      <c r="X10" s="30"/>
      <c r="Y10" s="28" t="str">
        <f t="shared" ref="Y10:Y18" si="18">$Y$6</f>
        <v>~</v>
      </c>
      <c r="Z10" s="30">
        <f t="shared" ref="Z10:Z18" si="19">N10</f>
        <v>1</v>
      </c>
      <c r="AC10" s="31">
        <v>1</v>
      </c>
      <c r="AD10" s="34">
        <f t="shared" ref="AD10:AD18" si="20">E10/D10</f>
        <v>0.79814921465968591</v>
      </c>
      <c r="AF10" s="91">
        <f ca="1">IFERROR(SUMPRODUCT((lstActStarts&lt;=EDATE(TODAY(),6))*(lstActStarts&gt;TODAY())),0)</f>
        <v>0</v>
      </c>
      <c r="AG10" s="91">
        <f t="shared" ca="1" si="7"/>
        <v>0</v>
      </c>
      <c r="AH10" s="79">
        <f ca="1">COUNTIFS(tblIssues[Due date],"&gt;"&amp;TODAY(),tblIssues[Due date],"&lt;="&amp;EDATE(TODAY(),6),tblIssues[Closed?],"",tblIssues[In Project],C10)</f>
        <v>0</v>
      </c>
    </row>
    <row r="11" spans="1:36" ht="22.5" customHeight="1" x14ac:dyDescent="0.3">
      <c r="A11" s="16">
        <v>3</v>
      </c>
      <c r="B11" s="16">
        <f>INDEX(lstSortedPrjIDs,A11+$C$5)</f>
        <v>3</v>
      </c>
      <c r="C11" s="3" t="str">
        <f t="shared" si="6"/>
        <v>Riggs-A-lot decomissioning</v>
      </c>
      <c r="D11" s="17">
        <f>IFERROR(INDEX(tblProjects[Budget ($)],$B11),"")</f>
        <v>377000</v>
      </c>
      <c r="E11" s="17">
        <f>IFERROR(INDEX(tblProjects[Spent ($)],$B11),"")</f>
        <v>222122</v>
      </c>
      <c r="F11" s="17">
        <f>IFERROR(INDEX(tblProjects[Deadline],$B11),"")</f>
        <v>41347</v>
      </c>
      <c r="G11" s="22">
        <f>IFERROR(INDEX(tblProjects[% Done],$B11),"")</f>
        <v>0.5</v>
      </c>
      <c r="H11" s="18" t="str">
        <f t="shared" ca="1" si="8"/>
        <v>Over due</v>
      </c>
      <c r="I11" s="18" t="str">
        <f t="shared" si="9"/>
        <v>$ 377k</v>
      </c>
      <c r="J11" s="24">
        <f>IFERROR(INDEX(tblProjects[Team Size],$B11),"")</f>
        <v>35</v>
      </c>
      <c r="K11" s="3" t="str">
        <f t="shared" si="10"/>
        <v>plan3</v>
      </c>
      <c r="L11" s="3">
        <f t="shared" ca="1" si="11"/>
        <v>25</v>
      </c>
      <c r="M11" s="3">
        <f>COUNTIFS(tblIssues[In Project],C11,tblIssues[Closed?],"&lt;&gt;Yes")</f>
        <v>4</v>
      </c>
      <c r="N11" s="3">
        <f>COUNTIFS(tblRisks[In Project],C11,tblRisks[Severity],$N$7)</f>
        <v>1</v>
      </c>
      <c r="P11" s="27" t="str">
        <f t="shared" si="12"/>
        <v></v>
      </c>
      <c r="Q11" s="26">
        <f t="shared" si="13"/>
        <v>35</v>
      </c>
      <c r="R11" s="26"/>
      <c r="S11" s="28" t="str">
        <f t="shared" si="14"/>
        <v>a</v>
      </c>
      <c r="T11" s="29">
        <f t="shared" ca="1" si="15"/>
        <v>25</v>
      </c>
      <c r="U11" s="29"/>
      <c r="V11" s="28" t="str">
        <f t="shared" si="16"/>
        <v>i</v>
      </c>
      <c r="W11" s="30">
        <f t="shared" si="17"/>
        <v>4</v>
      </c>
      <c r="X11" s="30"/>
      <c r="Y11" s="28" t="str">
        <f t="shared" si="18"/>
        <v>~</v>
      </c>
      <c r="Z11" s="30">
        <f t="shared" si="19"/>
        <v>1</v>
      </c>
      <c r="AC11" s="31">
        <v>1</v>
      </c>
      <c r="AD11" s="34">
        <f t="shared" si="20"/>
        <v>0.58918302387267907</v>
      </c>
      <c r="AF11" s="91">
        <f ca="1">IFERROR(SUMPRODUCT((lstActStarts&lt;=EDATE(TODAY(),6))*(lstActStarts&gt;TODAY())),0)</f>
        <v>0</v>
      </c>
      <c r="AG11" s="91">
        <f t="shared" ca="1" si="7"/>
        <v>0</v>
      </c>
      <c r="AH11" s="79">
        <f ca="1">COUNTIFS(tblIssues[Due date],"&gt;"&amp;TODAY(),tblIssues[Due date],"&lt;="&amp;EDATE(TODAY(),6),tblIssues[Closed?],"",tblIssues[In Project],C11)</f>
        <v>0</v>
      </c>
    </row>
    <row r="12" spans="1:36" ht="22.5" customHeight="1" x14ac:dyDescent="0.3">
      <c r="A12" s="16">
        <v>4</v>
      </c>
      <c r="B12" s="16">
        <f>INDEX(lstSortedPrjIDs,A12+$C$5)</f>
        <v>4</v>
      </c>
      <c r="C12" s="3" t="str">
        <f t="shared" si="6"/>
        <v>12th Annual Customer Convention</v>
      </c>
      <c r="D12" s="17">
        <f>IFERROR(INDEX(tblProjects[Budget ($)],$B12),"")</f>
        <v>490000</v>
      </c>
      <c r="E12" s="17">
        <f>IFERROR(INDEX(tblProjects[Spent ($)],$B12),"")</f>
        <v>445395</v>
      </c>
      <c r="F12" s="17">
        <f>IFERROR(INDEX(tblProjects[Deadline],$B12),"")</f>
        <v>41567</v>
      </c>
      <c r="G12" s="22">
        <f>IFERROR(INDEX(tblProjects[% Done],$B12),"")</f>
        <v>0.79</v>
      </c>
      <c r="H12" s="18" t="str">
        <f t="shared" ca="1" si="8"/>
        <v>Over due</v>
      </c>
      <c r="I12" s="18" t="str">
        <f t="shared" si="9"/>
        <v>$ 490k</v>
      </c>
      <c r="J12" s="24">
        <f>IFERROR(INDEX(tblProjects[Team Size],$B12),"")</f>
        <v>35</v>
      </c>
      <c r="K12" s="3" t="str">
        <f t="shared" si="10"/>
        <v>plan4</v>
      </c>
      <c r="L12" s="3">
        <f t="shared" ca="1" si="11"/>
        <v>40</v>
      </c>
      <c r="M12" s="3">
        <f>COUNTIFS(tblIssues[In Project],C12,tblIssues[Closed?],"&lt;&gt;Yes")</f>
        <v>4</v>
      </c>
      <c r="N12" s="3">
        <f>COUNTIFS(tblRisks[In Project],C12,tblRisks[Severity],$N$7)</f>
        <v>2</v>
      </c>
      <c r="P12" s="27" t="str">
        <f t="shared" si="12"/>
        <v></v>
      </c>
      <c r="Q12" s="26">
        <f t="shared" si="13"/>
        <v>35</v>
      </c>
      <c r="R12" s="26"/>
      <c r="S12" s="28" t="str">
        <f t="shared" si="14"/>
        <v>a</v>
      </c>
      <c r="T12" s="29">
        <f t="shared" ca="1" si="15"/>
        <v>40</v>
      </c>
      <c r="U12" s="29"/>
      <c r="V12" s="28" t="str">
        <f t="shared" si="16"/>
        <v>i</v>
      </c>
      <c r="W12" s="30">
        <f t="shared" si="17"/>
        <v>4</v>
      </c>
      <c r="X12" s="30"/>
      <c r="Y12" s="28" t="str">
        <f t="shared" si="18"/>
        <v>~</v>
      </c>
      <c r="Z12" s="30">
        <f t="shared" si="19"/>
        <v>2</v>
      </c>
      <c r="AC12" s="31">
        <v>1</v>
      </c>
      <c r="AD12" s="34">
        <f t="shared" si="20"/>
        <v>0.90896938775510205</v>
      </c>
      <c r="AF12" s="91">
        <f ca="1">IFERROR(SUMPRODUCT((lstActStarts&lt;=EDATE(TODAY(),6))*(lstActStarts&gt;TODAY())),0)</f>
        <v>0</v>
      </c>
      <c r="AG12" s="91">
        <f t="shared" ca="1" si="7"/>
        <v>0</v>
      </c>
      <c r="AH12" s="79">
        <f ca="1">COUNTIFS(tblIssues[Due date],"&gt;"&amp;TODAY(),tblIssues[Due date],"&lt;="&amp;EDATE(TODAY(),6),tblIssues[Closed?],"",tblIssues[In Project],C12)</f>
        <v>0</v>
      </c>
    </row>
    <row r="13" spans="1:36" ht="22.5" customHeight="1" x14ac:dyDescent="0.3">
      <c r="A13" s="16">
        <v>5</v>
      </c>
      <c r="B13" s="16">
        <f>INDEX(lstSortedPrjIDs,A13+$C$5)</f>
        <v>5</v>
      </c>
      <c r="C13" s="3" t="str">
        <f t="shared" si="6"/>
        <v>Six Sigma Assessment</v>
      </c>
      <c r="D13" s="17">
        <f>IFERROR(INDEX(tblProjects[Budget ($)],$B13),"")</f>
        <v>445000</v>
      </c>
      <c r="E13" s="17">
        <f>IFERROR(INDEX(tblProjects[Spent ($)],$B13),"")</f>
        <v>323965</v>
      </c>
      <c r="F13" s="17">
        <f>IFERROR(INDEX(tblProjects[Deadline],$B13),"")</f>
        <v>41357</v>
      </c>
      <c r="G13" s="22">
        <f>IFERROR(INDEX(tblProjects[% Done],$B13),"")</f>
        <v>0.86</v>
      </c>
      <c r="H13" s="18" t="str">
        <f t="shared" ca="1" si="8"/>
        <v>Over due</v>
      </c>
      <c r="I13" s="18" t="str">
        <f t="shared" si="9"/>
        <v>$ 445k</v>
      </c>
      <c r="J13" s="24">
        <f>IFERROR(INDEX(tblProjects[Team Size],$B13),"")</f>
        <v>35</v>
      </c>
      <c r="K13" s="3" t="str">
        <f t="shared" si="10"/>
        <v>plan5</v>
      </c>
      <c r="L13" s="3">
        <f t="shared" ca="1" si="11"/>
        <v>40</v>
      </c>
      <c r="M13" s="3">
        <f>COUNTIFS(tblIssues[In Project],C13,tblIssues[Closed?],"&lt;&gt;Yes")</f>
        <v>3</v>
      </c>
      <c r="N13" s="3">
        <f>COUNTIFS(tblRisks[In Project],C13,tblRisks[Severity],$N$7)</f>
        <v>0</v>
      </c>
      <c r="P13" s="27" t="str">
        <f t="shared" si="12"/>
        <v></v>
      </c>
      <c r="Q13" s="26">
        <f t="shared" si="13"/>
        <v>35</v>
      </c>
      <c r="R13" s="26"/>
      <c r="S13" s="28" t="str">
        <f t="shared" si="14"/>
        <v>a</v>
      </c>
      <c r="T13" s="29">
        <f t="shared" ca="1" si="15"/>
        <v>40</v>
      </c>
      <c r="U13" s="29"/>
      <c r="V13" s="28" t="str">
        <f t="shared" si="16"/>
        <v>i</v>
      </c>
      <c r="W13" s="30">
        <f t="shared" si="17"/>
        <v>3</v>
      </c>
      <c r="X13" s="30"/>
      <c r="Y13" s="28" t="str">
        <f t="shared" si="18"/>
        <v>~</v>
      </c>
      <c r="Z13" s="30">
        <f t="shared" si="19"/>
        <v>0</v>
      </c>
      <c r="AC13" s="31">
        <v>1</v>
      </c>
      <c r="AD13" s="34">
        <f t="shared" si="20"/>
        <v>0.72801123595505624</v>
      </c>
      <c r="AF13" s="91">
        <f ca="1">IFERROR(SUMPRODUCT((lstActStarts&lt;=EDATE(TODAY(),6))*(lstActStarts&gt;TODAY())),0)</f>
        <v>0</v>
      </c>
      <c r="AG13" s="91">
        <f t="shared" ca="1" si="7"/>
        <v>0</v>
      </c>
      <c r="AH13" s="79">
        <f ca="1">COUNTIFS(tblIssues[Due date],"&gt;"&amp;TODAY(),tblIssues[Due date],"&lt;="&amp;EDATE(TODAY(),6),tblIssues[Closed?],"",tblIssues[In Project],C13)</f>
        <v>0</v>
      </c>
    </row>
    <row r="14" spans="1:36" ht="22.5" customHeight="1" x14ac:dyDescent="0.3">
      <c r="A14" s="16">
        <v>6</v>
      </c>
      <c r="B14" s="16">
        <f>INDEX(lstSortedPrjIDs,A14+$C$5)</f>
        <v>6</v>
      </c>
      <c r="C14" s="3" t="str">
        <f t="shared" si="6"/>
        <v>CBM Development</v>
      </c>
      <c r="D14" s="17">
        <f>IFERROR(INDEX(tblProjects[Budget ($)],$B14),"")</f>
        <v>302000</v>
      </c>
      <c r="E14" s="17">
        <f>IFERROR(INDEX(tblProjects[Spent ($)],$B14),"")</f>
        <v>188391</v>
      </c>
      <c r="F14" s="17">
        <f>IFERROR(INDEX(tblProjects[Deadline],$B14),"")</f>
        <v>41560</v>
      </c>
      <c r="G14" s="22">
        <f>IFERROR(INDEX(tblProjects[% Done],$B14),"")</f>
        <v>1</v>
      </c>
      <c r="H14" s="18" t="str">
        <f t="shared" ca="1" si="8"/>
        <v>Done</v>
      </c>
      <c r="I14" s="18" t="str">
        <f t="shared" si="9"/>
        <v>$ 302k</v>
      </c>
      <c r="J14" s="24">
        <f>IFERROR(INDEX(tblProjects[Team Size],$B14),"")</f>
        <v>30</v>
      </c>
      <c r="K14" s="3" t="str">
        <f t="shared" si="10"/>
        <v>plan6</v>
      </c>
      <c r="L14" s="3">
        <f t="shared" ca="1" si="11"/>
        <v>40</v>
      </c>
      <c r="M14" s="3">
        <f>COUNTIFS(tblIssues[In Project],C14,tblIssues[Closed?],"&lt;&gt;Yes")</f>
        <v>1</v>
      </c>
      <c r="N14" s="3">
        <f>COUNTIFS(tblRisks[In Project],C14,tblRisks[Severity],$N$7)</f>
        <v>4</v>
      </c>
      <c r="P14" s="27" t="str">
        <f t="shared" si="12"/>
        <v></v>
      </c>
      <c r="Q14" s="26">
        <f t="shared" si="13"/>
        <v>30</v>
      </c>
      <c r="R14" s="26"/>
      <c r="S14" s="28" t="str">
        <f t="shared" si="14"/>
        <v>a</v>
      </c>
      <c r="T14" s="29">
        <f t="shared" ca="1" si="15"/>
        <v>40</v>
      </c>
      <c r="U14" s="29"/>
      <c r="V14" s="28" t="str">
        <f t="shared" si="16"/>
        <v>i</v>
      </c>
      <c r="W14" s="30">
        <f t="shared" si="17"/>
        <v>1</v>
      </c>
      <c r="X14" s="30"/>
      <c r="Y14" s="28" t="str">
        <f t="shared" si="18"/>
        <v>~</v>
      </c>
      <c r="Z14" s="30">
        <f t="shared" si="19"/>
        <v>4</v>
      </c>
      <c r="AC14" s="31">
        <v>1</v>
      </c>
      <c r="AD14" s="34">
        <f t="shared" si="20"/>
        <v>0.62381125827814565</v>
      </c>
      <c r="AF14" s="91">
        <f ca="1">IFERROR(SUMPRODUCT((lstActStarts&lt;=EDATE(TODAY(),6))*(lstActStarts&gt;TODAY())),0)</f>
        <v>0</v>
      </c>
      <c r="AG14" s="91">
        <f t="shared" ca="1" si="7"/>
        <v>0</v>
      </c>
      <c r="AH14" s="79">
        <f ca="1">COUNTIFS(tblIssues[Due date],"&gt;"&amp;TODAY(),tblIssues[Due date],"&lt;="&amp;EDATE(TODAY(),6),tblIssues[Closed?],"",tblIssues[In Project],C14)</f>
        <v>0</v>
      </c>
    </row>
    <row r="15" spans="1:36" ht="22.5" customHeight="1" x14ac:dyDescent="0.3">
      <c r="A15" s="16">
        <v>7</v>
      </c>
      <c r="B15" s="16">
        <f>INDEX(lstSortedPrjIDs,A15+$C$5)</f>
        <v>7</v>
      </c>
      <c r="C15" s="3" t="str">
        <f t="shared" si="6"/>
        <v>ASSOC Maintenance</v>
      </c>
      <c r="D15" s="17">
        <f>IFERROR(INDEX(tblProjects[Budget ($)],$B15),"")</f>
        <v>405000</v>
      </c>
      <c r="E15" s="17">
        <f>IFERROR(INDEX(tblProjects[Spent ($)],$B15),"")</f>
        <v>360511</v>
      </c>
      <c r="F15" s="17">
        <f>IFERROR(INDEX(tblProjects[Deadline],$B15),"")</f>
        <v>41726</v>
      </c>
      <c r="G15" s="22">
        <f>IFERROR(INDEX(tblProjects[% Done],$B15),"")</f>
        <v>0.91</v>
      </c>
      <c r="H15" s="18" t="str">
        <f t="shared" ca="1" si="8"/>
        <v>Over due</v>
      </c>
      <c r="I15" s="18" t="str">
        <f t="shared" si="9"/>
        <v>$ 405k</v>
      </c>
      <c r="J15" s="24">
        <f>IFERROR(INDEX(tblProjects[Team Size],$B15),"")</f>
        <v>35</v>
      </c>
      <c r="K15" s="3" t="str">
        <f t="shared" si="10"/>
        <v>plan7</v>
      </c>
      <c r="L15" s="3">
        <f t="shared" ca="1" si="11"/>
        <v>40</v>
      </c>
      <c r="M15" s="3">
        <f>COUNTIFS(tblIssues[In Project],C15,tblIssues[Closed?],"&lt;&gt;Yes")</f>
        <v>3</v>
      </c>
      <c r="N15" s="3">
        <f>COUNTIFS(tblRisks[In Project],C15,tblRisks[Severity],$N$7)</f>
        <v>2</v>
      </c>
      <c r="P15" s="27" t="str">
        <f t="shared" si="12"/>
        <v></v>
      </c>
      <c r="Q15" s="26">
        <f t="shared" si="13"/>
        <v>35</v>
      </c>
      <c r="R15" s="26"/>
      <c r="S15" s="28" t="str">
        <f t="shared" si="14"/>
        <v>a</v>
      </c>
      <c r="T15" s="29">
        <f t="shared" ca="1" si="15"/>
        <v>40</v>
      </c>
      <c r="U15" s="29"/>
      <c r="V15" s="28" t="str">
        <f t="shared" si="16"/>
        <v>i</v>
      </c>
      <c r="W15" s="30">
        <f t="shared" si="17"/>
        <v>3</v>
      </c>
      <c r="X15" s="30"/>
      <c r="Y15" s="28" t="str">
        <f t="shared" si="18"/>
        <v>~</v>
      </c>
      <c r="Z15" s="30">
        <f t="shared" si="19"/>
        <v>2</v>
      </c>
      <c r="AC15" s="31">
        <v>1</v>
      </c>
      <c r="AD15" s="34">
        <f t="shared" si="20"/>
        <v>0.89015061728395062</v>
      </c>
      <c r="AF15" s="91">
        <f ca="1">IFERROR(SUMPRODUCT((lstActStarts&lt;=EDATE(TODAY(),6))*(lstActStarts&gt;TODAY())),0)</f>
        <v>0</v>
      </c>
      <c r="AG15" s="91">
        <f t="shared" ca="1" si="7"/>
        <v>0</v>
      </c>
      <c r="AH15" s="79">
        <f ca="1">COUNTIFS(tblIssues[Due date],"&gt;"&amp;TODAY(),tblIssues[Due date],"&lt;="&amp;EDATE(TODAY(),6),tblIssues[Closed?],"",tblIssues[In Project],C15)</f>
        <v>0</v>
      </c>
    </row>
    <row r="16" spans="1:36" ht="22.5" customHeight="1" x14ac:dyDescent="0.3">
      <c r="A16" s="16">
        <v>8</v>
      </c>
      <c r="B16" s="16">
        <f>INDEX(lstSortedPrjIDs,A16+$C$5)</f>
        <v>8</v>
      </c>
      <c r="C16" s="3" t="str">
        <f t="shared" si="6"/>
        <v>HRM Rollout</v>
      </c>
      <c r="D16" s="17">
        <f>IFERROR(INDEX(tblProjects[Budget ($)],$B16),"")</f>
        <v>322000</v>
      </c>
      <c r="E16" s="17">
        <f>IFERROR(INDEX(tblProjects[Spent ($)],$B16),"")</f>
        <v>171426</v>
      </c>
      <c r="F16" s="17">
        <f>IFERROR(INDEX(tblProjects[Deadline],$B16),"")</f>
        <v>41498</v>
      </c>
      <c r="G16" s="22">
        <f>IFERROR(INDEX(tblProjects[% Done],$B16),"")</f>
        <v>0.81</v>
      </c>
      <c r="H16" s="18" t="str">
        <f t="shared" ca="1" si="8"/>
        <v>Over due</v>
      </c>
      <c r="I16" s="18" t="str">
        <f t="shared" si="9"/>
        <v>$ 322k</v>
      </c>
      <c r="J16" s="24">
        <f>IFERROR(INDEX(tblProjects[Team Size],$B16),"")</f>
        <v>20</v>
      </c>
      <c r="K16" s="3" t="str">
        <f t="shared" si="10"/>
        <v>plan8</v>
      </c>
      <c r="L16" s="3">
        <f t="shared" ca="1" si="11"/>
        <v>40</v>
      </c>
      <c r="M16" s="3">
        <f>COUNTIFS(tblIssues[In Project],C16,tblIssues[Closed?],"&lt;&gt;Yes")</f>
        <v>1</v>
      </c>
      <c r="N16" s="3">
        <f>COUNTIFS(tblRisks[In Project],C16,tblRisks[Severity],$N$7)</f>
        <v>3</v>
      </c>
      <c r="P16" s="27" t="str">
        <f t="shared" si="12"/>
        <v></v>
      </c>
      <c r="Q16" s="26">
        <f t="shared" si="13"/>
        <v>20</v>
      </c>
      <c r="R16" s="26"/>
      <c r="S16" s="28" t="str">
        <f t="shared" si="14"/>
        <v>a</v>
      </c>
      <c r="T16" s="29">
        <f t="shared" ca="1" si="15"/>
        <v>40</v>
      </c>
      <c r="U16" s="29"/>
      <c r="V16" s="28" t="str">
        <f t="shared" si="16"/>
        <v>i</v>
      </c>
      <c r="W16" s="30">
        <f t="shared" si="17"/>
        <v>1</v>
      </c>
      <c r="X16" s="30"/>
      <c r="Y16" s="28" t="str">
        <f t="shared" si="18"/>
        <v>~</v>
      </c>
      <c r="Z16" s="30">
        <f t="shared" si="19"/>
        <v>3</v>
      </c>
      <c r="AC16" s="31">
        <v>1</v>
      </c>
      <c r="AD16" s="34">
        <f t="shared" si="20"/>
        <v>0.53237888198757766</v>
      </c>
      <c r="AF16" s="91">
        <f ca="1">IFERROR(SUMPRODUCT((lstActStarts&lt;=EDATE(TODAY(),6))*(lstActStarts&gt;TODAY())),0)</f>
        <v>0</v>
      </c>
      <c r="AG16" s="91">
        <f t="shared" ca="1" si="7"/>
        <v>0</v>
      </c>
      <c r="AH16" s="79">
        <f ca="1">COUNTIFS(tblIssues[Due date],"&gt;"&amp;TODAY(),tblIssues[Due date],"&lt;="&amp;EDATE(TODAY(),6),tblIssues[Closed?],"",tblIssues[In Project],C16)</f>
        <v>0</v>
      </c>
    </row>
    <row r="17" spans="1:34" ht="22.5" customHeight="1" x14ac:dyDescent="0.3">
      <c r="A17" s="16">
        <v>9</v>
      </c>
      <c r="B17" s="16" t="e">
        <f>INDEX(lstSortedPrjIDs,A17+$C$5)</f>
        <v>#REF!</v>
      </c>
      <c r="C17" s="3" t="str">
        <f t="shared" si="6"/>
        <v/>
      </c>
      <c r="D17" s="17" t="str">
        <f>IFERROR(INDEX(tblProjects[Budget ($)],$B17),"")</f>
        <v/>
      </c>
      <c r="E17" s="17" t="str">
        <f>IFERROR(INDEX(tblProjects[Spent ($)],$B17),"")</f>
        <v/>
      </c>
      <c r="F17" s="17" t="str">
        <f>IFERROR(INDEX(tblProjects[Deadline],$B17),"")</f>
        <v/>
      </c>
      <c r="G17" s="22" t="str">
        <f>IFERROR(INDEX(tblProjects[% Done],$B17),"")</f>
        <v/>
      </c>
      <c r="H17" s="18" t="str">
        <f t="shared" ca="1" si="8"/>
        <v/>
      </c>
      <c r="I17" s="18" t="str">
        <f t="shared" si="9"/>
        <v>k</v>
      </c>
      <c r="J17" s="24" t="str">
        <f>IFERROR(INDEX(tblProjects[Team Size],$B17),"")</f>
        <v/>
      </c>
      <c r="K17" s="3" t="str">
        <f t="shared" si="10"/>
        <v/>
      </c>
      <c r="L17" s="3">
        <f t="shared" ca="1" si="11"/>
        <v>0</v>
      </c>
      <c r="M17" s="3">
        <f>COUNTIFS(tblIssues[In Project],C17,tblIssues[Closed?],"&lt;&gt;Yes")</f>
        <v>0</v>
      </c>
      <c r="N17" s="3">
        <f>COUNTIFS(tblRisks[In Project],C17,tblRisks[Severity],$N$7)</f>
        <v>0</v>
      </c>
      <c r="P17" s="27" t="str">
        <f t="shared" si="12"/>
        <v></v>
      </c>
      <c r="Q17" s="26" t="str">
        <f t="shared" si="13"/>
        <v/>
      </c>
      <c r="R17" s="26"/>
      <c r="S17" s="28" t="str">
        <f t="shared" si="14"/>
        <v>a</v>
      </c>
      <c r="T17" s="29">
        <f t="shared" ca="1" si="15"/>
        <v>0</v>
      </c>
      <c r="U17" s="29"/>
      <c r="V17" s="28" t="str">
        <f t="shared" si="16"/>
        <v>i</v>
      </c>
      <c r="W17" s="30">
        <f t="shared" si="17"/>
        <v>0</v>
      </c>
      <c r="X17" s="30"/>
      <c r="Y17" s="28" t="str">
        <f t="shared" si="18"/>
        <v>~</v>
      </c>
      <c r="Z17" s="30">
        <f t="shared" si="19"/>
        <v>0</v>
      </c>
      <c r="AC17" s="31">
        <v>1</v>
      </c>
      <c r="AD17" s="34" t="e">
        <f t="shared" si="20"/>
        <v>#VALUE!</v>
      </c>
      <c r="AF17" s="91">
        <f ca="1">IFERROR(SUMPRODUCT((lstActStarts&lt;=EDATE(TODAY(),6))*(lstActStarts&gt;TODAY())),0)</f>
        <v>0</v>
      </c>
      <c r="AG17" s="91">
        <f t="shared" ca="1" si="7"/>
        <v>0</v>
      </c>
      <c r="AH17" s="79">
        <f ca="1">COUNTIFS(tblIssues[Due date],"&gt;"&amp;TODAY(),tblIssues[Due date],"&lt;="&amp;EDATE(TODAY(),6),tblIssues[Closed?],"",tblIssues[In Project],C17)</f>
        <v>0</v>
      </c>
    </row>
    <row r="18" spans="1:34" ht="22.5" customHeight="1" x14ac:dyDescent="0.3">
      <c r="A18" s="16">
        <v>10</v>
      </c>
      <c r="B18" s="16" t="e">
        <f>INDEX(lstSortedPrjIDs,A18+$C$5)</f>
        <v>#REF!</v>
      </c>
      <c r="C18" s="3" t="str">
        <f t="shared" si="6"/>
        <v/>
      </c>
      <c r="D18" s="17" t="str">
        <f>IFERROR(INDEX(tblProjects[Budget ($)],$B18),"")</f>
        <v/>
      </c>
      <c r="E18" s="17" t="str">
        <f>IFERROR(INDEX(tblProjects[Spent ($)],$B18),"")</f>
        <v/>
      </c>
      <c r="F18" s="17" t="str">
        <f>IFERROR(INDEX(tblProjects[Deadline],$B18),"")</f>
        <v/>
      </c>
      <c r="G18" s="22" t="str">
        <f>IFERROR(INDEX(tblProjects[% Done],$B18),"")</f>
        <v/>
      </c>
      <c r="H18" s="18" t="str">
        <f t="shared" ca="1" si="8"/>
        <v/>
      </c>
      <c r="I18" s="18" t="str">
        <f t="shared" si="9"/>
        <v>k</v>
      </c>
      <c r="J18" s="24" t="str">
        <f>IFERROR(INDEX(tblProjects[Team Size],$B18),"")</f>
        <v/>
      </c>
      <c r="K18" s="3" t="str">
        <f t="shared" si="10"/>
        <v/>
      </c>
      <c r="L18" s="3">
        <f t="shared" ca="1" si="11"/>
        <v>0</v>
      </c>
      <c r="M18" s="3">
        <f>COUNTIFS(tblIssues[In Project],C18,tblIssues[Closed?],"&lt;&gt;Yes")</f>
        <v>0</v>
      </c>
      <c r="N18" s="3">
        <f>COUNTIFS(tblRisks[In Project],C18,tblRisks[Severity],$N$7)</f>
        <v>0</v>
      </c>
      <c r="P18" s="27" t="str">
        <f t="shared" si="12"/>
        <v></v>
      </c>
      <c r="Q18" s="26" t="str">
        <f t="shared" si="13"/>
        <v/>
      </c>
      <c r="R18" s="26"/>
      <c r="S18" s="28" t="str">
        <f t="shared" si="14"/>
        <v>a</v>
      </c>
      <c r="T18" s="29">
        <f t="shared" ca="1" si="15"/>
        <v>0</v>
      </c>
      <c r="U18" s="29"/>
      <c r="V18" s="28" t="str">
        <f t="shared" si="16"/>
        <v>i</v>
      </c>
      <c r="W18" s="30">
        <f t="shared" si="17"/>
        <v>0</v>
      </c>
      <c r="X18" s="30"/>
      <c r="Y18" s="28" t="str">
        <f t="shared" si="18"/>
        <v>~</v>
      </c>
      <c r="Z18" s="30">
        <f t="shared" si="19"/>
        <v>0</v>
      </c>
      <c r="AC18" s="31">
        <v>1</v>
      </c>
      <c r="AD18" s="34" t="e">
        <f t="shared" si="20"/>
        <v>#VALUE!</v>
      </c>
      <c r="AF18" s="91">
        <f ca="1">IFERROR(SUMPRODUCT((lstActStarts&lt;=EDATE(TODAY(),6))*(lstActStarts&gt;TODAY())),0)</f>
        <v>0</v>
      </c>
      <c r="AG18" s="91">
        <f t="shared" ca="1" si="7"/>
        <v>0</v>
      </c>
      <c r="AH18" s="79">
        <f ca="1">COUNTIFS(tblIssues[Due date],"&gt;"&amp;TODAY(),tblIssues[Due date],"&lt;="&amp;EDATE(TODAY(),6),tblIssues[Closed?],"",tblIssues[In Project],C18)</f>
        <v>0</v>
      </c>
    </row>
    <row r="21" spans="1:34" ht="16.5" x14ac:dyDescent="0.3">
      <c r="A21" s="32" t="s">
        <v>134</v>
      </c>
      <c r="E21" s="31" t="s">
        <v>146</v>
      </c>
      <c r="F21" s="31"/>
      <c r="G21" s="31">
        <v>90</v>
      </c>
      <c r="O21" s="159" t="s">
        <v>234</v>
      </c>
      <c r="P21" s="144" t="str">
        <f>$P$6</f>
        <v></v>
      </c>
      <c r="Q21" s="145" t="s">
        <v>172</v>
      </c>
      <c r="R21" s="146"/>
      <c r="S21" s="147" t="str">
        <f>$S$6</f>
        <v>a</v>
      </c>
      <c r="T21" s="145" t="s">
        <v>233</v>
      </c>
      <c r="U21" s="148"/>
      <c r="V21" s="147" t="str">
        <f>$V$6</f>
        <v>i</v>
      </c>
      <c r="W21" s="145" t="s">
        <v>98</v>
      </c>
      <c r="X21" s="149"/>
      <c r="Y21" s="147" t="str">
        <f>$Y$6</f>
        <v>~</v>
      </c>
      <c r="Z21" s="145" t="s">
        <v>93</v>
      </c>
    </row>
    <row r="22" spans="1:34" x14ac:dyDescent="0.3">
      <c r="B22" s="31" t="s">
        <v>48</v>
      </c>
      <c r="C22" s="62">
        <f>INDEX(lstSortedPrjIDs,valSP+$C$5)</f>
        <v>1</v>
      </c>
      <c r="E22" s="31" t="s">
        <v>138</v>
      </c>
      <c r="F22" s="31"/>
      <c r="G22" s="64">
        <f>MIN(INDEX(lstPlans,,2,$C$22))</f>
        <v>40782</v>
      </c>
      <c r="H22" s="31">
        <f>WEEKDAY(G22)</f>
        <v>7</v>
      </c>
      <c r="K22" s="79" t="s">
        <v>175</v>
      </c>
    </row>
    <row r="23" spans="1:34" x14ac:dyDescent="0.3">
      <c r="B23" s="31" t="s">
        <v>75</v>
      </c>
      <c r="C23" s="31" t="str">
        <f>INDEX(C9:C13,valSP)</f>
        <v>ABC Integration</v>
      </c>
      <c r="E23" s="31" t="s">
        <v>205</v>
      </c>
      <c r="F23" s="31"/>
      <c r="G23" s="64">
        <f>IF(valGanttType=3,DATE(YEAR(G22),MONTH(G22),1),G22-CHOOSE(H22,6,0,1,2,3,4,5))</f>
        <v>40777</v>
      </c>
      <c r="H23" s="75" t="s">
        <v>136</v>
      </c>
      <c r="I23" s="139">
        <v>0</v>
      </c>
      <c r="J23" s="31" t="s">
        <v>211</v>
      </c>
      <c r="K23" s="100" t="str">
        <f>C23&amp;" Plan"</f>
        <v>ABC Integration Plan</v>
      </c>
    </row>
    <row r="24" spans="1:34" x14ac:dyDescent="0.3">
      <c r="B24" s="31" t="s">
        <v>122</v>
      </c>
      <c r="C24" s="31" t="str">
        <f>"plan"&amp;C22</f>
        <v>plan1</v>
      </c>
      <c r="E24" s="31" t="s">
        <v>139</v>
      </c>
      <c r="F24" s="31"/>
      <c r="G24" s="31">
        <f>NETWORKDAYS(G22,MAX(INDEX(lstPlans,,2,$C$22)),lstHolidays)</f>
        <v>396</v>
      </c>
      <c r="H24" s="76" t="s">
        <v>206</v>
      </c>
      <c r="I24" s="140"/>
      <c r="J24" s="31" t="s">
        <v>212</v>
      </c>
    </row>
    <row r="25" spans="1:34" x14ac:dyDescent="0.3">
      <c r="B25" s="31" t="s">
        <v>136</v>
      </c>
      <c r="C25" s="62">
        <v>0</v>
      </c>
      <c r="E25" s="31" t="s">
        <v>145</v>
      </c>
      <c r="F25" s="31"/>
      <c r="G25" s="31">
        <v>1</v>
      </c>
      <c r="H25" s="77">
        <f>G23+I23*7</f>
        <v>40777</v>
      </c>
      <c r="I25" s="140"/>
      <c r="J25" s="31" t="s">
        <v>213</v>
      </c>
    </row>
    <row r="27" spans="1:34" ht="19.5" customHeight="1" x14ac:dyDescent="0.3">
      <c r="C27" s="31" t="s">
        <v>135</v>
      </c>
      <c r="D27" s="31">
        <v>1</v>
      </c>
      <c r="E27" s="31">
        <v>2</v>
      </c>
      <c r="F27" s="31">
        <v>3</v>
      </c>
      <c r="G27" s="31">
        <v>4</v>
      </c>
      <c r="H27" s="31">
        <v>5</v>
      </c>
      <c r="I27" s="31">
        <v>6</v>
      </c>
      <c r="L27" s="160" t="s">
        <v>137</v>
      </c>
    </row>
    <row r="28" spans="1:34" x14ac:dyDescent="0.3">
      <c r="B28" s="31" t="s">
        <v>114</v>
      </c>
      <c r="C28" s="63" t="s">
        <v>48</v>
      </c>
      <c r="D28" s="63" t="str">
        <f>'Project Plans'!B5</f>
        <v>Activity</v>
      </c>
      <c r="E28" s="63" t="str">
        <f>'Project Plans'!C5</f>
        <v>Start Date</v>
      </c>
      <c r="F28" s="63" t="str">
        <f>'Project Plans'!D5</f>
        <v>Duration</v>
      </c>
      <c r="G28" s="63" t="str">
        <f>'Project Plans'!E5</f>
        <v>% done</v>
      </c>
      <c r="H28" s="63" t="str">
        <f>'Project Plans'!F5</f>
        <v>Budget ($)</v>
      </c>
      <c r="I28" s="106" t="str">
        <f>'Project Plans'!G5</f>
        <v>Actual ($)</v>
      </c>
      <c r="J28" s="79" t="s">
        <v>199</v>
      </c>
    </row>
    <row r="29" spans="1:34" x14ac:dyDescent="0.3">
      <c r="B29" s="62">
        <v>1</v>
      </c>
      <c r="C29" s="31">
        <f>B29+$C$25</f>
        <v>1</v>
      </c>
      <c r="D29" s="31" t="str">
        <f t="shared" ref="D29:I38" si="21">IFERROR(INDEX(lstPlans,$C29,D$27,$C$22),"")</f>
        <v>Activity 1</v>
      </c>
      <c r="E29" s="64">
        <f t="shared" si="21"/>
        <v>40782</v>
      </c>
      <c r="F29" s="31">
        <f t="shared" si="21"/>
        <v>14</v>
      </c>
      <c r="G29" s="31">
        <f t="shared" si="21"/>
        <v>0.77</v>
      </c>
      <c r="H29" s="31">
        <f t="shared" si="21"/>
        <v>5000</v>
      </c>
      <c r="I29" s="76">
        <f t="shared" si="21"/>
        <v>3176</v>
      </c>
      <c r="J29" s="107">
        <f t="shared" ref="J29:J48" si="22">WORKDAY(E29,F29,lstHolidays)</f>
        <v>40801</v>
      </c>
    </row>
    <row r="30" spans="1:34" x14ac:dyDescent="0.3">
      <c r="B30" s="62">
        <v>2</v>
      </c>
      <c r="C30" s="31">
        <f t="shared" ref="C30:C48" si="23">B30+$C$25</f>
        <v>2</v>
      </c>
      <c r="D30" s="31" t="str">
        <f t="shared" si="21"/>
        <v>Activity 2</v>
      </c>
      <c r="E30" s="64">
        <f t="shared" si="21"/>
        <v>40801</v>
      </c>
      <c r="F30" s="31">
        <f t="shared" si="21"/>
        <v>21</v>
      </c>
      <c r="G30" s="31">
        <f t="shared" si="21"/>
        <v>0.17</v>
      </c>
      <c r="H30" s="31">
        <f t="shared" si="21"/>
        <v>1000</v>
      </c>
      <c r="I30" s="76">
        <f t="shared" si="21"/>
        <v>119</v>
      </c>
      <c r="J30" s="107">
        <f t="shared" si="22"/>
        <v>40830</v>
      </c>
    </row>
    <row r="31" spans="1:34" x14ac:dyDescent="0.3">
      <c r="B31" s="62">
        <v>3</v>
      </c>
      <c r="C31" s="31">
        <f t="shared" si="23"/>
        <v>3</v>
      </c>
      <c r="D31" s="31" t="str">
        <f t="shared" si="21"/>
        <v>Activity 3</v>
      </c>
      <c r="E31" s="64">
        <f t="shared" si="21"/>
        <v>40820</v>
      </c>
      <c r="F31" s="31">
        <f t="shared" si="21"/>
        <v>14</v>
      </c>
      <c r="G31" s="31">
        <f t="shared" si="21"/>
        <v>0.51</v>
      </c>
      <c r="H31" s="31">
        <f t="shared" si="21"/>
        <v>4000</v>
      </c>
      <c r="I31" s="76">
        <f t="shared" si="21"/>
        <v>262</v>
      </c>
      <c r="J31" s="107">
        <f t="shared" si="22"/>
        <v>40840</v>
      </c>
    </row>
    <row r="32" spans="1:34" x14ac:dyDescent="0.3">
      <c r="B32" s="62">
        <v>4</v>
      </c>
      <c r="C32" s="31">
        <f t="shared" si="23"/>
        <v>4</v>
      </c>
      <c r="D32" s="31" t="str">
        <f t="shared" si="21"/>
        <v>Activity 4</v>
      </c>
      <c r="E32" s="64">
        <f t="shared" si="21"/>
        <v>40833</v>
      </c>
      <c r="F32" s="31">
        <f t="shared" si="21"/>
        <v>14</v>
      </c>
      <c r="G32" s="31">
        <f t="shared" si="21"/>
        <v>0</v>
      </c>
      <c r="H32" s="31">
        <f t="shared" si="21"/>
        <v>3000</v>
      </c>
      <c r="I32" s="76">
        <f t="shared" si="21"/>
        <v>0</v>
      </c>
      <c r="J32" s="107">
        <f t="shared" si="22"/>
        <v>40851</v>
      </c>
    </row>
    <row r="33" spans="2:10" x14ac:dyDescent="0.3">
      <c r="B33" s="62">
        <v>5</v>
      </c>
      <c r="C33" s="31">
        <f t="shared" si="23"/>
        <v>5</v>
      </c>
      <c r="D33" s="31" t="str">
        <f t="shared" si="21"/>
        <v>Activity 5</v>
      </c>
      <c r="E33" s="64">
        <f t="shared" si="21"/>
        <v>40843</v>
      </c>
      <c r="F33" s="31">
        <f t="shared" si="21"/>
        <v>14</v>
      </c>
      <c r="G33" s="31">
        <f t="shared" si="21"/>
        <v>0.68</v>
      </c>
      <c r="H33" s="31">
        <f t="shared" si="21"/>
        <v>3000</v>
      </c>
      <c r="I33" s="76">
        <f t="shared" si="21"/>
        <v>1798</v>
      </c>
      <c r="J33" s="107">
        <f t="shared" si="22"/>
        <v>40863</v>
      </c>
    </row>
    <row r="34" spans="2:10" x14ac:dyDescent="0.3">
      <c r="B34" s="62">
        <v>6</v>
      </c>
      <c r="C34" s="31">
        <f t="shared" si="23"/>
        <v>6</v>
      </c>
      <c r="D34" s="31" t="str">
        <f t="shared" si="21"/>
        <v>Activity 6</v>
      </c>
      <c r="E34" s="64">
        <f t="shared" si="21"/>
        <v>40855</v>
      </c>
      <c r="F34" s="31">
        <f t="shared" si="21"/>
        <v>14</v>
      </c>
      <c r="G34" s="31">
        <f t="shared" si="21"/>
        <v>0</v>
      </c>
      <c r="H34" s="31">
        <f t="shared" si="21"/>
        <v>2000</v>
      </c>
      <c r="I34" s="76">
        <f t="shared" si="21"/>
        <v>0</v>
      </c>
      <c r="J34" s="107">
        <f t="shared" si="22"/>
        <v>40875</v>
      </c>
    </row>
    <row r="35" spans="2:10" x14ac:dyDescent="0.3">
      <c r="B35" s="62">
        <v>7</v>
      </c>
      <c r="C35" s="31">
        <f t="shared" si="23"/>
        <v>7</v>
      </c>
      <c r="D35" s="31" t="str">
        <f t="shared" si="21"/>
        <v>Activity 7</v>
      </c>
      <c r="E35" s="64">
        <f t="shared" si="21"/>
        <v>40870</v>
      </c>
      <c r="F35" s="31">
        <f t="shared" si="21"/>
        <v>14</v>
      </c>
      <c r="G35" s="31">
        <f t="shared" si="21"/>
        <v>0</v>
      </c>
      <c r="H35" s="31">
        <f t="shared" si="21"/>
        <v>3000</v>
      </c>
      <c r="I35" s="76">
        <f t="shared" si="21"/>
        <v>0</v>
      </c>
      <c r="J35" s="107">
        <f t="shared" si="22"/>
        <v>40890</v>
      </c>
    </row>
    <row r="36" spans="2:10" x14ac:dyDescent="0.3">
      <c r="B36" s="62">
        <v>8</v>
      </c>
      <c r="C36" s="31">
        <f t="shared" si="23"/>
        <v>8</v>
      </c>
      <c r="D36" s="31" t="str">
        <f t="shared" si="21"/>
        <v>Activity 8</v>
      </c>
      <c r="E36" s="64">
        <f t="shared" si="21"/>
        <v>40883</v>
      </c>
      <c r="F36" s="31">
        <f t="shared" si="21"/>
        <v>7</v>
      </c>
      <c r="G36" s="31">
        <f t="shared" si="21"/>
        <v>0.03</v>
      </c>
      <c r="H36" s="31">
        <f t="shared" si="21"/>
        <v>2000</v>
      </c>
      <c r="I36" s="76">
        <f t="shared" si="21"/>
        <v>54</v>
      </c>
      <c r="J36" s="107">
        <f t="shared" si="22"/>
        <v>40892</v>
      </c>
    </row>
    <row r="37" spans="2:10" x14ac:dyDescent="0.3">
      <c r="B37" s="62">
        <v>9</v>
      </c>
      <c r="C37" s="31">
        <f t="shared" si="23"/>
        <v>9</v>
      </c>
      <c r="D37" s="31" t="str">
        <f t="shared" si="21"/>
        <v>Activity 9</v>
      </c>
      <c r="E37" s="64">
        <f t="shared" si="21"/>
        <v>40897</v>
      </c>
      <c r="F37" s="31">
        <f t="shared" si="21"/>
        <v>21</v>
      </c>
      <c r="G37" s="31">
        <f t="shared" si="21"/>
        <v>0.41</v>
      </c>
      <c r="H37" s="31">
        <f t="shared" si="21"/>
        <v>4000</v>
      </c>
      <c r="I37" s="76">
        <f t="shared" si="21"/>
        <v>864</v>
      </c>
      <c r="J37" s="107">
        <f t="shared" si="22"/>
        <v>40926</v>
      </c>
    </row>
    <row r="38" spans="2:10" x14ac:dyDescent="0.3">
      <c r="B38" s="62">
        <v>10</v>
      </c>
      <c r="C38" s="31">
        <f t="shared" si="23"/>
        <v>10</v>
      </c>
      <c r="D38" s="31" t="str">
        <f t="shared" si="21"/>
        <v>Activity 10</v>
      </c>
      <c r="E38" s="64">
        <f t="shared" si="21"/>
        <v>40911</v>
      </c>
      <c r="F38" s="31">
        <f t="shared" si="21"/>
        <v>7</v>
      </c>
      <c r="G38" s="31">
        <f t="shared" si="21"/>
        <v>0.4</v>
      </c>
      <c r="H38" s="31">
        <f t="shared" si="21"/>
        <v>3000</v>
      </c>
      <c r="I38" s="76">
        <f t="shared" si="21"/>
        <v>51</v>
      </c>
      <c r="J38" s="107">
        <f t="shared" si="22"/>
        <v>40920</v>
      </c>
    </row>
    <row r="39" spans="2:10" x14ac:dyDescent="0.3">
      <c r="B39" s="62">
        <v>11</v>
      </c>
      <c r="C39" s="31">
        <f t="shared" si="23"/>
        <v>11</v>
      </c>
      <c r="D39" s="31" t="str">
        <f t="shared" ref="D39:I48" si="24">IFERROR(INDEX(lstPlans,$C39,D$27,$C$22),"")</f>
        <v>Activity 11</v>
      </c>
      <c r="E39" s="64">
        <f t="shared" si="24"/>
        <v>40920</v>
      </c>
      <c r="F39" s="31">
        <f t="shared" si="24"/>
        <v>14</v>
      </c>
      <c r="G39" s="31">
        <f t="shared" si="24"/>
        <v>0.59</v>
      </c>
      <c r="H39" s="31">
        <f t="shared" si="24"/>
        <v>5000</v>
      </c>
      <c r="I39" s="76">
        <f t="shared" si="24"/>
        <v>1588</v>
      </c>
      <c r="J39" s="107">
        <f t="shared" si="22"/>
        <v>40940</v>
      </c>
    </row>
    <row r="40" spans="2:10" x14ac:dyDescent="0.3">
      <c r="B40" s="62">
        <v>12</v>
      </c>
      <c r="C40" s="31">
        <f t="shared" si="23"/>
        <v>12</v>
      </c>
      <c r="D40" s="31" t="str">
        <f t="shared" si="24"/>
        <v>Activity 12</v>
      </c>
      <c r="E40" s="64">
        <f t="shared" si="24"/>
        <v>40938</v>
      </c>
      <c r="F40" s="31">
        <f t="shared" si="24"/>
        <v>7</v>
      </c>
      <c r="G40" s="31">
        <f t="shared" si="24"/>
        <v>0</v>
      </c>
      <c r="H40" s="31">
        <f t="shared" si="24"/>
        <v>1000</v>
      </c>
      <c r="I40" s="76">
        <f t="shared" si="24"/>
        <v>0</v>
      </c>
      <c r="J40" s="107">
        <f t="shared" si="22"/>
        <v>40947</v>
      </c>
    </row>
    <row r="41" spans="2:10" x14ac:dyDescent="0.3">
      <c r="B41" s="62">
        <v>13</v>
      </c>
      <c r="C41" s="31">
        <f t="shared" si="23"/>
        <v>13</v>
      </c>
      <c r="D41" s="31" t="str">
        <f t="shared" si="24"/>
        <v>Activity 13</v>
      </c>
      <c r="E41" s="64">
        <f t="shared" si="24"/>
        <v>40952</v>
      </c>
      <c r="F41" s="31">
        <f t="shared" si="24"/>
        <v>21</v>
      </c>
      <c r="G41" s="31">
        <f t="shared" si="24"/>
        <v>0.47</v>
      </c>
      <c r="H41" s="31">
        <f t="shared" si="24"/>
        <v>2000</v>
      </c>
      <c r="I41" s="76">
        <f t="shared" si="24"/>
        <v>363</v>
      </c>
      <c r="J41" s="107">
        <f t="shared" si="22"/>
        <v>40981</v>
      </c>
    </row>
    <row r="42" spans="2:10" x14ac:dyDescent="0.3">
      <c r="B42" s="62">
        <v>14</v>
      </c>
      <c r="C42" s="31">
        <f t="shared" si="23"/>
        <v>14</v>
      </c>
      <c r="D42" s="31" t="str">
        <f t="shared" si="24"/>
        <v>Activity 14</v>
      </c>
      <c r="E42" s="64">
        <f t="shared" si="24"/>
        <v>40968</v>
      </c>
      <c r="F42" s="31">
        <f t="shared" si="24"/>
        <v>14</v>
      </c>
      <c r="G42" s="31">
        <f t="shared" si="24"/>
        <v>0</v>
      </c>
      <c r="H42" s="31">
        <f t="shared" si="24"/>
        <v>1000</v>
      </c>
      <c r="I42" s="76">
        <f t="shared" si="24"/>
        <v>0</v>
      </c>
      <c r="J42" s="107">
        <f t="shared" si="22"/>
        <v>40988</v>
      </c>
    </row>
    <row r="43" spans="2:10" x14ac:dyDescent="0.3">
      <c r="B43" s="62">
        <v>15</v>
      </c>
      <c r="C43" s="31">
        <f t="shared" si="23"/>
        <v>15</v>
      </c>
      <c r="D43" s="31" t="str">
        <f t="shared" si="24"/>
        <v>Activity 15</v>
      </c>
      <c r="E43" s="64">
        <f t="shared" si="24"/>
        <v>40983</v>
      </c>
      <c r="F43" s="31">
        <f t="shared" si="24"/>
        <v>7</v>
      </c>
      <c r="G43" s="31">
        <f t="shared" si="24"/>
        <v>0</v>
      </c>
      <c r="H43" s="31">
        <f t="shared" si="24"/>
        <v>2000</v>
      </c>
      <c r="I43" s="76">
        <f t="shared" si="24"/>
        <v>0</v>
      </c>
      <c r="J43" s="107">
        <f t="shared" si="22"/>
        <v>40994</v>
      </c>
    </row>
    <row r="44" spans="2:10" x14ac:dyDescent="0.3">
      <c r="B44" s="62">
        <v>16</v>
      </c>
      <c r="C44" s="31">
        <f t="shared" si="23"/>
        <v>16</v>
      </c>
      <c r="D44" s="31" t="str">
        <f t="shared" si="24"/>
        <v>Activity 16</v>
      </c>
      <c r="E44" s="64">
        <f t="shared" si="24"/>
        <v>41001</v>
      </c>
      <c r="F44" s="31">
        <f t="shared" si="24"/>
        <v>7</v>
      </c>
      <c r="G44" s="31">
        <f t="shared" si="24"/>
        <v>0</v>
      </c>
      <c r="H44" s="31">
        <f t="shared" si="24"/>
        <v>1000</v>
      </c>
      <c r="I44" s="76">
        <f t="shared" si="24"/>
        <v>0</v>
      </c>
      <c r="J44" s="107">
        <f t="shared" si="22"/>
        <v>41010</v>
      </c>
    </row>
    <row r="45" spans="2:10" x14ac:dyDescent="0.3">
      <c r="B45" s="62">
        <v>17</v>
      </c>
      <c r="C45" s="31">
        <f t="shared" si="23"/>
        <v>17</v>
      </c>
      <c r="D45" s="31" t="str">
        <f t="shared" si="24"/>
        <v>Activity 17</v>
      </c>
      <c r="E45" s="64">
        <f t="shared" si="24"/>
        <v>41011</v>
      </c>
      <c r="F45" s="31">
        <f t="shared" si="24"/>
        <v>14</v>
      </c>
      <c r="G45" s="31">
        <f t="shared" si="24"/>
        <v>0.16</v>
      </c>
      <c r="H45" s="31">
        <f t="shared" si="24"/>
        <v>2000</v>
      </c>
      <c r="I45" s="76">
        <f t="shared" si="24"/>
        <v>49</v>
      </c>
      <c r="J45" s="107">
        <f t="shared" si="22"/>
        <v>41031</v>
      </c>
    </row>
    <row r="46" spans="2:10" x14ac:dyDescent="0.3">
      <c r="B46" s="62">
        <v>18</v>
      </c>
      <c r="C46" s="31">
        <f t="shared" si="23"/>
        <v>18</v>
      </c>
      <c r="D46" s="31" t="str">
        <f t="shared" si="24"/>
        <v>Activity 18</v>
      </c>
      <c r="E46" s="64">
        <f t="shared" si="24"/>
        <v>41025</v>
      </c>
      <c r="F46" s="31">
        <f t="shared" si="24"/>
        <v>14</v>
      </c>
      <c r="G46" s="31">
        <f t="shared" si="24"/>
        <v>0.47</v>
      </c>
      <c r="H46" s="31">
        <f t="shared" si="24"/>
        <v>4000</v>
      </c>
      <c r="I46" s="76">
        <f t="shared" si="24"/>
        <v>896</v>
      </c>
      <c r="J46" s="107">
        <f t="shared" si="22"/>
        <v>41045</v>
      </c>
    </row>
    <row r="47" spans="2:10" x14ac:dyDescent="0.3">
      <c r="B47" s="62">
        <v>19</v>
      </c>
      <c r="C47" s="31">
        <f t="shared" si="23"/>
        <v>19</v>
      </c>
      <c r="D47" s="31" t="str">
        <f t="shared" si="24"/>
        <v>Activity 19</v>
      </c>
      <c r="E47" s="64">
        <f t="shared" si="24"/>
        <v>41038</v>
      </c>
      <c r="F47" s="31">
        <f t="shared" si="24"/>
        <v>14</v>
      </c>
      <c r="G47" s="31">
        <f t="shared" si="24"/>
        <v>0.04</v>
      </c>
      <c r="H47" s="31">
        <f t="shared" si="24"/>
        <v>2000</v>
      </c>
      <c r="I47" s="76">
        <f t="shared" si="24"/>
        <v>54</v>
      </c>
      <c r="J47" s="107">
        <f t="shared" si="22"/>
        <v>41058</v>
      </c>
    </row>
    <row r="48" spans="2:10" x14ac:dyDescent="0.3">
      <c r="B48" s="62">
        <v>20</v>
      </c>
      <c r="C48" s="31">
        <f t="shared" si="23"/>
        <v>20</v>
      </c>
      <c r="D48" s="31" t="str">
        <f t="shared" si="24"/>
        <v>Activity 20</v>
      </c>
      <c r="E48" s="64">
        <f t="shared" si="24"/>
        <v>41058</v>
      </c>
      <c r="F48" s="31">
        <f t="shared" si="24"/>
        <v>21</v>
      </c>
      <c r="G48" s="31">
        <f t="shared" si="24"/>
        <v>0.1</v>
      </c>
      <c r="H48" s="31">
        <f t="shared" si="24"/>
        <v>3000</v>
      </c>
      <c r="I48" s="76">
        <f t="shared" si="24"/>
        <v>155</v>
      </c>
      <c r="J48" s="107">
        <f t="shared" si="22"/>
        <v>41087</v>
      </c>
    </row>
    <row r="51" spans="1:17" x14ac:dyDescent="0.3">
      <c r="A51" s="32" t="s">
        <v>152</v>
      </c>
    </row>
    <row r="52" spans="1:17" x14ac:dyDescent="0.3">
      <c r="B52" s="31" t="str">
        <f t="shared" ref="B52:C53" si="25">B22</f>
        <v>ID</v>
      </c>
      <c r="C52" s="62">
        <f t="shared" si="25"/>
        <v>1</v>
      </c>
      <c r="E52" s="79" t="s">
        <v>162</v>
      </c>
      <c r="F52" s="79">
        <f>MAX(F57:F76)+1</f>
        <v>41251</v>
      </c>
    </row>
    <row r="53" spans="1:17" x14ac:dyDescent="0.3">
      <c r="B53" s="31" t="str">
        <f t="shared" si="25"/>
        <v>Name</v>
      </c>
      <c r="C53" s="31" t="str">
        <f t="shared" si="25"/>
        <v>ABC Integration</v>
      </c>
      <c r="E53" s="79" t="s">
        <v>163</v>
      </c>
      <c r="F53" s="79">
        <f>MIN(F57:F76)</f>
        <v>41246</v>
      </c>
      <c r="I53" s="79">
        <f>COUNTIF($B$57:$B$76,"&gt;0")</f>
        <v>6</v>
      </c>
    </row>
    <row r="54" spans="1:17" x14ac:dyDescent="0.3">
      <c r="B54" s="4"/>
      <c r="C54" s="4"/>
    </row>
    <row r="55" spans="1:17" x14ac:dyDescent="0.3">
      <c r="B55" t="s">
        <v>153</v>
      </c>
      <c r="I55" t="s">
        <v>154</v>
      </c>
      <c r="M55" t="s">
        <v>157</v>
      </c>
    </row>
    <row r="56" spans="1:17" x14ac:dyDescent="0.3">
      <c r="B56" s="81" t="str">
        <f>'Risks &amp; Issues'!I3</f>
        <v>ID</v>
      </c>
      <c r="C56" s="82" t="str">
        <f>'Risks &amp; Issues'!K3</f>
        <v>Description</v>
      </c>
      <c r="D56" s="82" t="str">
        <f>'Risks &amp; Issues'!L3</f>
        <v>Assigned to</v>
      </c>
      <c r="E56" s="83" t="str">
        <f>'Risks &amp; Issues'!M3</f>
        <v>Criticality</v>
      </c>
      <c r="F56" s="82" t="str">
        <f>'Risks &amp; Issues'!N3</f>
        <v>Due date</v>
      </c>
      <c r="G56" s="84" t="str">
        <f>'Risks &amp; Issues'!O3</f>
        <v>Closed?</v>
      </c>
      <c r="I56" s="79" t="s">
        <v>155</v>
      </c>
      <c r="J56" s="79" t="s">
        <v>156</v>
      </c>
      <c r="M56" s="79" t="s">
        <v>158</v>
      </c>
      <c r="N56" s="79" t="str">
        <f>C56</f>
        <v>Description</v>
      </c>
      <c r="O56" s="79" t="str">
        <f t="shared" ref="O56:Q56" si="26">D56</f>
        <v>Assigned to</v>
      </c>
      <c r="P56" s="79" t="str">
        <f t="shared" si="26"/>
        <v>Criticality</v>
      </c>
      <c r="Q56" s="79" t="str">
        <f t="shared" si="26"/>
        <v>Due date</v>
      </c>
    </row>
    <row r="57" spans="1:17" x14ac:dyDescent="0.3">
      <c r="A57" s="85">
        <v>1</v>
      </c>
      <c r="B57" s="79">
        <f t="array" ref="B57">LARGE((tblIssues[ID])*(tblIssues[In Project]=$C$53),$A57)</f>
        <v>23</v>
      </c>
      <c r="C57" s="79" t="str">
        <f>INDEX(tblIssues[Description],$B57)</f>
        <v>Some very simple issue</v>
      </c>
      <c r="D57" s="79" t="str">
        <f>INDEX(tblIssues[Assigned to],$B57)</f>
        <v>Person Name7</v>
      </c>
      <c r="E57" s="79">
        <f>INDEX(tblIssues[Criticality],$B57)</f>
        <v>4</v>
      </c>
      <c r="F57" s="79" t="str">
        <f>IFERROR(INDEX(tblIssues[Due date],$B57),"")</f>
        <v/>
      </c>
      <c r="G57" s="79" t="str">
        <f>INDEX(tblIssues[Closed?],$B57)</f>
        <v/>
      </c>
      <c r="I57" s="79">
        <f>(G57&lt;&gt;"Yes")*(E57)*($F$52-MAX(F57,$F$53))+(0.000001)*B57</f>
        <v>20.000022999999999</v>
      </c>
      <c r="J57" s="79">
        <f>RANK(I57,$I$57:INDEX($I$57:$I$76,$I$53),0)</f>
        <v>1</v>
      </c>
      <c r="M57" s="79">
        <f>INDEX($B$57:$B$76,MATCH($A57,$J$57:$J$76,0))</f>
        <v>23</v>
      </c>
      <c r="N57" s="79" t="str">
        <f>IFERROR(INDEX(tblIssues[Description],$M57),"")</f>
        <v>Some very simple issue</v>
      </c>
      <c r="O57" s="79" t="str">
        <f>IFERROR(INDEX(tblIssues[Assigned to],$M57),"")</f>
        <v>Person Name7</v>
      </c>
      <c r="P57" s="79">
        <f>IFERROR(INDEX(tblIssues[Criticality],$M57),"")</f>
        <v>4</v>
      </c>
      <c r="Q57" s="79" t="str">
        <f>IFERROR(INDEX(tblIssues[Due date],$M57),"")</f>
        <v/>
      </c>
    </row>
    <row r="58" spans="1:17" x14ac:dyDescent="0.3">
      <c r="A58" s="85">
        <v>2</v>
      </c>
      <c r="B58" s="79">
        <f t="array" ref="B58">LARGE((tblIssues[ID])*(tblIssues[In Project]=$C$53),$A58)</f>
        <v>19</v>
      </c>
      <c r="C58" s="79" t="str">
        <f>INDEX(tblIssues[Description],$B58)</f>
        <v>Some very simple issue</v>
      </c>
      <c r="D58" s="79" t="str">
        <f>INDEX(tblIssues[Assigned to],$B58)</f>
        <v>Person Name10</v>
      </c>
      <c r="E58" s="79">
        <f>INDEX(tblIssues[Criticality],$B58)</f>
        <v>3</v>
      </c>
      <c r="F58" s="79">
        <f>IFERROR(INDEX(tblIssues[Due date],$B58),"")</f>
        <v>41250</v>
      </c>
      <c r="G58" s="79" t="str">
        <f>INDEX(tblIssues[Closed?],$B58)</f>
        <v/>
      </c>
      <c r="I58" s="79">
        <f t="shared" ref="I58:I76" si="27">(G58&lt;&gt;"Yes")*(E58)*($F$52-MAX(F58,$F$53))+(0.000001)*B58</f>
        <v>3.000019</v>
      </c>
      <c r="J58" s="79">
        <f>RANK(I58,$I$57:INDEX($I$57:$I$76,$I$53),0)</f>
        <v>6</v>
      </c>
      <c r="M58" s="79">
        <f t="shared" ref="M58:M76" si="28">INDEX($B$57:$B$76,MATCH($A58,$J$57:$J$76,0))</f>
        <v>13</v>
      </c>
      <c r="N58" s="79" t="str">
        <f>IFERROR(INDEX(tblIssues[Description],$M58),"")</f>
        <v>Some very unforeseen issue</v>
      </c>
      <c r="O58" s="79" t="str">
        <f>IFERROR(INDEX(tblIssues[Assigned to],$M58),"")</f>
        <v>Person Name5</v>
      </c>
      <c r="P58" s="79">
        <f>IFERROR(INDEX(tblIssues[Criticality],$M58),"")</f>
        <v>4</v>
      </c>
      <c r="Q58" s="79">
        <f>IFERROR(INDEX(tblIssues[Due date],$M58),"")</f>
        <v>41246</v>
      </c>
    </row>
    <row r="59" spans="1:17" x14ac:dyDescent="0.3">
      <c r="A59" s="85">
        <v>3</v>
      </c>
      <c r="B59" s="79">
        <f t="array" ref="B59">LARGE((tblIssues[ID])*(tblIssues[In Project]=$C$53),$A59)</f>
        <v>16</v>
      </c>
      <c r="C59" s="79" t="str">
        <f>INDEX(tblIssues[Description],$B59)</f>
        <v>Some very simple issue</v>
      </c>
      <c r="D59" s="79" t="str">
        <f>INDEX(tblIssues[Assigned to],$B59)</f>
        <v>Person Name7</v>
      </c>
      <c r="E59" s="79">
        <f>INDEX(tblIssues[Criticality],$B59)</f>
        <v>3</v>
      </c>
      <c r="F59" s="79">
        <f>IFERROR(INDEX(tblIssues[Due date],$B59),"")</f>
        <v>41248</v>
      </c>
      <c r="G59" s="79" t="str">
        <f>INDEX(tblIssues[Closed?],$B59)</f>
        <v/>
      </c>
      <c r="I59" s="79">
        <f t="shared" si="27"/>
        <v>9.0000160000000005</v>
      </c>
      <c r="J59" s="79">
        <f>RANK(I59,$I$57:INDEX($I$57:$I$76,$I$53),0)</f>
        <v>4</v>
      </c>
      <c r="M59" s="79">
        <f t="shared" si="28"/>
        <v>15</v>
      </c>
      <c r="N59" s="79" t="str">
        <f>IFERROR(INDEX(tblIssues[Description],$M59),"")</f>
        <v>Some very simple issue</v>
      </c>
      <c r="O59" s="79" t="str">
        <f>IFERROR(INDEX(tblIssues[Assigned to],$M59),"")</f>
        <v>Person Name14</v>
      </c>
      <c r="P59" s="79">
        <f>IFERROR(INDEX(tblIssues[Criticality],$M59),"")</f>
        <v>3</v>
      </c>
      <c r="Q59" s="79">
        <f>IFERROR(INDEX(tblIssues[Due date],$M59),"")</f>
        <v>41246</v>
      </c>
    </row>
    <row r="60" spans="1:17" x14ac:dyDescent="0.3">
      <c r="A60" s="85">
        <v>4</v>
      </c>
      <c r="B60" s="79">
        <f t="array" ref="B60">LARGE((tblIssues[ID])*(tblIssues[In Project]=$C$53),$A60)</f>
        <v>15</v>
      </c>
      <c r="C60" s="79" t="str">
        <f>INDEX(tblIssues[Description],$B60)</f>
        <v>Some very simple issue</v>
      </c>
      <c r="D60" s="79" t="str">
        <f>INDEX(tblIssues[Assigned to],$B60)</f>
        <v>Person Name14</v>
      </c>
      <c r="E60" s="79">
        <f>INDEX(tblIssues[Criticality],$B60)</f>
        <v>3</v>
      </c>
      <c r="F60" s="79">
        <f>IFERROR(INDEX(tblIssues[Due date],$B60),"")</f>
        <v>41246</v>
      </c>
      <c r="G60" s="79" t="str">
        <f>INDEX(tblIssues[Closed?],$B60)</f>
        <v/>
      </c>
      <c r="I60" s="79">
        <f t="shared" si="27"/>
        <v>15.000014999999999</v>
      </c>
      <c r="J60" s="79">
        <f>RANK(I60,$I$57:INDEX($I$57:$I$76,$I$53),0)</f>
        <v>3</v>
      </c>
      <c r="M60" s="79">
        <f t="shared" si="28"/>
        <v>16</v>
      </c>
      <c r="N60" s="79" t="str">
        <f>IFERROR(INDEX(tblIssues[Description],$M60),"")</f>
        <v>Some very simple issue</v>
      </c>
      <c r="O60" s="79" t="str">
        <f>IFERROR(INDEX(tblIssues[Assigned to],$M60),"")</f>
        <v>Person Name7</v>
      </c>
      <c r="P60" s="79">
        <f>IFERROR(INDEX(tblIssues[Criticality],$M60),"")</f>
        <v>3</v>
      </c>
      <c r="Q60" s="79">
        <f>IFERROR(INDEX(tblIssues[Due date],$M60),"")</f>
        <v>41248</v>
      </c>
    </row>
    <row r="61" spans="1:17" x14ac:dyDescent="0.3">
      <c r="A61" s="85">
        <v>5</v>
      </c>
      <c r="B61" s="79">
        <f t="array" ref="B61">LARGE((tblIssues[ID])*(tblIssues[In Project]=$C$53),$A61)</f>
        <v>13</v>
      </c>
      <c r="C61" s="79" t="str">
        <f>INDEX(tblIssues[Description],$B61)</f>
        <v>Some very unforeseen issue</v>
      </c>
      <c r="D61" s="79" t="str">
        <f>INDEX(tblIssues[Assigned to],$B61)</f>
        <v>Person Name5</v>
      </c>
      <c r="E61" s="79">
        <f>INDEX(tblIssues[Criticality],$B61)</f>
        <v>4</v>
      </c>
      <c r="F61" s="79">
        <f>IFERROR(INDEX(tblIssues[Due date],$B61),"")</f>
        <v>41246</v>
      </c>
      <c r="G61" s="79" t="str">
        <f>INDEX(tblIssues[Closed?],$B61)</f>
        <v/>
      </c>
      <c r="I61" s="79">
        <f t="shared" si="27"/>
        <v>20.000012999999999</v>
      </c>
      <c r="J61" s="79">
        <f>RANK(I61,$I$57:INDEX($I$57:$I$76,$I$53),0)</f>
        <v>2</v>
      </c>
      <c r="M61" s="79">
        <f t="shared" si="28"/>
        <v>2</v>
      </c>
      <c r="N61" s="79" t="str">
        <f>IFERROR(INDEX(tblIssues[Description],$M61),"")</f>
        <v>Some very simple issue</v>
      </c>
      <c r="O61" s="79" t="str">
        <f>IFERROR(INDEX(tblIssues[Assigned to],$M61),"")</f>
        <v>Person Name13</v>
      </c>
      <c r="P61" s="79">
        <f>IFERROR(INDEX(tblIssues[Criticality],$M61),"")</f>
        <v>3</v>
      </c>
      <c r="Q61" s="79">
        <f>IFERROR(INDEX(tblIssues[Due date],$M61),"")</f>
        <v>41248</v>
      </c>
    </row>
    <row r="62" spans="1:17" x14ac:dyDescent="0.3">
      <c r="A62" s="85">
        <v>6</v>
      </c>
      <c r="B62" s="79">
        <f t="array" ref="B62">LARGE((tblIssues[ID])*(tblIssues[In Project]=$C$53),$A62)</f>
        <v>2</v>
      </c>
      <c r="C62" s="79" t="str">
        <f>INDEX(tblIssues[Description],$B62)</f>
        <v>Some very simple issue</v>
      </c>
      <c r="D62" s="79" t="str">
        <f>INDEX(tblIssues[Assigned to],$B62)</f>
        <v>Person Name13</v>
      </c>
      <c r="E62" s="79">
        <f>INDEX(tblIssues[Criticality],$B62)</f>
        <v>3</v>
      </c>
      <c r="F62" s="79">
        <f>IFERROR(INDEX(tblIssues[Due date],$B62),"")</f>
        <v>41248</v>
      </c>
      <c r="G62" s="79" t="str">
        <f>INDEX(tblIssues[Closed?],$B62)</f>
        <v/>
      </c>
      <c r="I62" s="79">
        <f t="shared" si="27"/>
        <v>9.0000020000000003</v>
      </c>
      <c r="J62" s="79">
        <f>RANK(I62,$I$57:INDEX($I$57:$I$76,$I$53),0)</f>
        <v>5</v>
      </c>
      <c r="M62" s="79">
        <f t="shared" si="28"/>
        <v>19</v>
      </c>
      <c r="N62" s="79" t="str">
        <f>IFERROR(INDEX(tblIssues[Description],$M62),"")</f>
        <v>Some very simple issue</v>
      </c>
      <c r="O62" s="79" t="str">
        <f>IFERROR(INDEX(tblIssues[Assigned to],$M62),"")</f>
        <v>Person Name10</v>
      </c>
      <c r="P62" s="79">
        <f>IFERROR(INDEX(tblIssues[Criticality],$M62),"")</f>
        <v>3</v>
      </c>
      <c r="Q62" s="79">
        <f>IFERROR(INDEX(tblIssues[Due date],$M62),"")</f>
        <v>41250</v>
      </c>
    </row>
    <row r="63" spans="1:17" x14ac:dyDescent="0.3">
      <c r="A63" s="85">
        <v>7</v>
      </c>
      <c r="B63" s="79">
        <f t="array" ref="B63">LARGE((tblIssues[ID])*(tblIssues[In Project]=$C$53),$A63)</f>
        <v>0</v>
      </c>
      <c r="C63" s="79" t="e">
        <f>INDEX(tblIssues[Description],$B63)</f>
        <v>#VALUE!</v>
      </c>
      <c r="D63" s="79" t="e">
        <f>INDEX(tblIssues[Assigned to],$B63)</f>
        <v>#VALUE!</v>
      </c>
      <c r="E63" s="79" t="e">
        <f>INDEX(tblIssues[Criticality],$B63)</f>
        <v>#VALUE!</v>
      </c>
      <c r="F63" s="79" t="str">
        <f>IFERROR(INDEX(tblIssues[Due date],$B63),"")</f>
        <v/>
      </c>
      <c r="G63" s="79" t="e">
        <f>INDEX(tblIssues[Closed?],$B63)</f>
        <v>#VALUE!</v>
      </c>
      <c r="I63" s="79" t="e">
        <f t="shared" si="27"/>
        <v>#VALUE!</v>
      </c>
      <c r="J63" s="79" t="e">
        <f>RANK(I63,$I$57:INDEX($I$57:$I$76,$I$53),0)</f>
        <v>#VALUE!</v>
      </c>
      <c r="M63" s="79" t="e">
        <f t="shared" si="28"/>
        <v>#N/A</v>
      </c>
      <c r="N63" s="79" t="str">
        <f>IFERROR(INDEX(tblIssues[Description],$M63),"")</f>
        <v/>
      </c>
      <c r="O63" s="79" t="str">
        <f>IFERROR(INDEX(tblIssues[Assigned to],$M63),"")</f>
        <v/>
      </c>
      <c r="P63" s="79" t="str">
        <f>IFERROR(INDEX(tblIssues[Criticality],$M63),"")</f>
        <v/>
      </c>
      <c r="Q63" s="79" t="str">
        <f>IFERROR(INDEX(tblIssues[Due date],$M63),"")</f>
        <v/>
      </c>
    </row>
    <row r="64" spans="1:17" x14ac:dyDescent="0.3">
      <c r="A64" s="85">
        <v>8</v>
      </c>
      <c r="B64" s="79">
        <f t="array" ref="B64">LARGE((tblIssues[ID])*(tblIssues[In Project]=$C$53),$A64)</f>
        <v>0</v>
      </c>
      <c r="C64" s="79" t="e">
        <f>INDEX(tblIssues[Description],$B64)</f>
        <v>#VALUE!</v>
      </c>
      <c r="D64" s="79" t="e">
        <f>INDEX(tblIssues[Assigned to],$B64)</f>
        <v>#VALUE!</v>
      </c>
      <c r="E64" s="79" t="e">
        <f>INDEX(tblIssues[Criticality],$B64)</f>
        <v>#VALUE!</v>
      </c>
      <c r="F64" s="79" t="str">
        <f>IFERROR(INDEX(tblIssues[Due date],$B64),"")</f>
        <v/>
      </c>
      <c r="G64" s="79" t="e">
        <f>INDEX(tblIssues[Closed?],$B64)</f>
        <v>#VALUE!</v>
      </c>
      <c r="I64" s="79" t="e">
        <f t="shared" si="27"/>
        <v>#VALUE!</v>
      </c>
      <c r="J64" s="79" t="e">
        <f>RANK(I64,$I$57:INDEX($I$57:$I$76,$I$53),0)</f>
        <v>#VALUE!</v>
      </c>
      <c r="M64" s="79" t="e">
        <f t="shared" si="28"/>
        <v>#N/A</v>
      </c>
      <c r="N64" s="79" t="str">
        <f>IFERROR(INDEX(tblIssues[Description],$M64),"")</f>
        <v/>
      </c>
      <c r="O64" s="79" t="str">
        <f>IFERROR(INDEX(tblIssues[Assigned to],$M64),"")</f>
        <v/>
      </c>
      <c r="P64" s="79" t="str">
        <f>IFERROR(INDEX(tblIssues[Criticality],$M64),"")</f>
        <v/>
      </c>
      <c r="Q64" s="79" t="str">
        <f>IFERROR(INDEX(tblIssues[Due date],$M64),"")</f>
        <v/>
      </c>
    </row>
    <row r="65" spans="1:17" x14ac:dyDescent="0.3">
      <c r="A65" s="85">
        <v>9</v>
      </c>
      <c r="B65" s="79">
        <f t="array" ref="B65">LARGE((tblIssues[ID])*(tblIssues[In Project]=$C$53),$A65)</f>
        <v>0</v>
      </c>
      <c r="C65" s="79" t="e">
        <f>INDEX(tblIssues[Description],$B65)</f>
        <v>#VALUE!</v>
      </c>
      <c r="D65" s="79" t="e">
        <f>INDEX(tblIssues[Assigned to],$B65)</f>
        <v>#VALUE!</v>
      </c>
      <c r="E65" s="79" t="e">
        <f>INDEX(tblIssues[Criticality],$B65)</f>
        <v>#VALUE!</v>
      </c>
      <c r="F65" s="79" t="str">
        <f>IFERROR(INDEX(tblIssues[Due date],$B65),"")</f>
        <v/>
      </c>
      <c r="G65" s="79" t="e">
        <f>INDEX(tblIssues[Closed?],$B65)</f>
        <v>#VALUE!</v>
      </c>
      <c r="I65" s="79" t="e">
        <f t="shared" si="27"/>
        <v>#VALUE!</v>
      </c>
      <c r="J65" s="79" t="e">
        <f>RANK(I65,$I$57:INDEX($I$57:$I$76,$I$53),0)</f>
        <v>#VALUE!</v>
      </c>
      <c r="M65" s="79" t="e">
        <f t="shared" si="28"/>
        <v>#N/A</v>
      </c>
      <c r="N65" s="79" t="str">
        <f>IFERROR(INDEX(tblIssues[Description],$M65),"")</f>
        <v/>
      </c>
      <c r="O65" s="79" t="str">
        <f>IFERROR(INDEX(tblIssues[Assigned to],$M65),"")</f>
        <v/>
      </c>
      <c r="P65" s="79" t="str">
        <f>IFERROR(INDEX(tblIssues[Criticality],$M65),"")</f>
        <v/>
      </c>
      <c r="Q65" s="79" t="str">
        <f>IFERROR(INDEX(tblIssues[Due date],$M65),"")</f>
        <v/>
      </c>
    </row>
    <row r="66" spans="1:17" x14ac:dyDescent="0.3">
      <c r="A66" s="85">
        <v>10</v>
      </c>
      <c r="B66" s="79">
        <f t="array" ref="B66">LARGE((tblIssues[ID])*(tblIssues[In Project]=$C$53),$A66)</f>
        <v>0</v>
      </c>
      <c r="C66" s="79" t="e">
        <f>INDEX(tblIssues[Description],$B66)</f>
        <v>#VALUE!</v>
      </c>
      <c r="D66" s="79" t="e">
        <f>INDEX(tblIssues[Assigned to],$B66)</f>
        <v>#VALUE!</v>
      </c>
      <c r="E66" s="79" t="e">
        <f>INDEX(tblIssues[Criticality],$B66)</f>
        <v>#VALUE!</v>
      </c>
      <c r="F66" s="79" t="str">
        <f>IFERROR(INDEX(tblIssues[Due date],$B66),"")</f>
        <v/>
      </c>
      <c r="G66" s="79" t="e">
        <f>INDEX(tblIssues[Closed?],$B66)</f>
        <v>#VALUE!</v>
      </c>
      <c r="I66" s="79" t="e">
        <f t="shared" si="27"/>
        <v>#VALUE!</v>
      </c>
      <c r="J66" s="79" t="e">
        <f>RANK(I66,$I$57:INDEX($I$57:$I$76,$I$53),0)</f>
        <v>#VALUE!</v>
      </c>
      <c r="M66" s="79" t="e">
        <f t="shared" si="28"/>
        <v>#N/A</v>
      </c>
      <c r="N66" s="79" t="str">
        <f>IFERROR(INDEX(tblIssues[Description],$M66),"")</f>
        <v/>
      </c>
      <c r="O66" s="79" t="str">
        <f>IFERROR(INDEX(tblIssues[Assigned to],$M66),"")</f>
        <v/>
      </c>
      <c r="P66" s="79" t="str">
        <f>IFERROR(INDEX(tblIssues[Criticality],$M66),"")</f>
        <v/>
      </c>
      <c r="Q66" s="79" t="str">
        <f>IFERROR(INDEX(tblIssues[Due date],$M66),"")</f>
        <v/>
      </c>
    </row>
    <row r="67" spans="1:17" x14ac:dyDescent="0.3">
      <c r="A67" s="85">
        <v>11</v>
      </c>
      <c r="B67" s="79">
        <f t="array" ref="B67">LARGE((tblIssues[ID])*(tblIssues[In Project]=$C$53),$A67)</f>
        <v>0</v>
      </c>
      <c r="C67" s="79" t="e">
        <f>INDEX(tblIssues[Description],$B67)</f>
        <v>#VALUE!</v>
      </c>
      <c r="D67" s="79" t="e">
        <f>INDEX(tblIssues[Assigned to],$B67)</f>
        <v>#VALUE!</v>
      </c>
      <c r="E67" s="79" t="e">
        <f>INDEX(tblIssues[Criticality],$B67)</f>
        <v>#VALUE!</v>
      </c>
      <c r="F67" s="79" t="str">
        <f>IFERROR(INDEX(tblIssues[Due date],$B67),"")</f>
        <v/>
      </c>
      <c r="G67" s="79" t="e">
        <f>INDEX(tblIssues[Closed?],$B67)</f>
        <v>#VALUE!</v>
      </c>
      <c r="I67" s="79" t="e">
        <f t="shared" si="27"/>
        <v>#VALUE!</v>
      </c>
      <c r="J67" s="79" t="e">
        <f>RANK(I67,$I$57:INDEX($I$57:$I$76,$I$53),0)</f>
        <v>#VALUE!</v>
      </c>
      <c r="M67" s="79" t="e">
        <f t="shared" si="28"/>
        <v>#N/A</v>
      </c>
      <c r="N67" s="79" t="str">
        <f>IFERROR(INDEX(tblIssues[Description],$M67),"")</f>
        <v/>
      </c>
      <c r="O67" s="79" t="str">
        <f>IFERROR(INDEX(tblIssues[Assigned to],$M67),"")</f>
        <v/>
      </c>
      <c r="P67" s="79" t="str">
        <f>IFERROR(INDEX(tblIssues[Criticality],$M67),"")</f>
        <v/>
      </c>
      <c r="Q67" s="79" t="str">
        <f>IFERROR(INDEX(tblIssues[Due date],$M67),"")</f>
        <v/>
      </c>
    </row>
    <row r="68" spans="1:17" x14ac:dyDescent="0.3">
      <c r="A68" s="85">
        <v>12</v>
      </c>
      <c r="B68" s="79">
        <f t="array" ref="B68">LARGE((tblIssues[ID])*(tblIssues[In Project]=$C$53),$A68)</f>
        <v>0</v>
      </c>
      <c r="C68" s="79" t="e">
        <f>INDEX(tblIssues[Description],$B68)</f>
        <v>#VALUE!</v>
      </c>
      <c r="D68" s="79" t="e">
        <f>INDEX(tblIssues[Assigned to],$B68)</f>
        <v>#VALUE!</v>
      </c>
      <c r="E68" s="79" t="e">
        <f>INDEX(tblIssues[Criticality],$B68)</f>
        <v>#VALUE!</v>
      </c>
      <c r="F68" s="79" t="str">
        <f>IFERROR(INDEX(tblIssues[Due date],$B68),"")</f>
        <v/>
      </c>
      <c r="G68" s="79" t="e">
        <f>INDEX(tblIssues[Closed?],$B68)</f>
        <v>#VALUE!</v>
      </c>
      <c r="I68" s="79" t="e">
        <f t="shared" si="27"/>
        <v>#VALUE!</v>
      </c>
      <c r="J68" s="79" t="e">
        <f>RANK(I68,$I$57:INDEX($I$57:$I$76,$I$53),0)</f>
        <v>#VALUE!</v>
      </c>
      <c r="M68" s="79" t="e">
        <f t="shared" si="28"/>
        <v>#N/A</v>
      </c>
      <c r="N68" s="79" t="str">
        <f>IFERROR(INDEX(tblIssues[Description],$M68),"")</f>
        <v/>
      </c>
      <c r="O68" s="79" t="str">
        <f>IFERROR(INDEX(tblIssues[Assigned to],$M68),"")</f>
        <v/>
      </c>
      <c r="P68" s="79" t="str">
        <f>IFERROR(INDEX(tblIssues[Criticality],$M68),"")</f>
        <v/>
      </c>
      <c r="Q68" s="79" t="str">
        <f>IFERROR(INDEX(tblIssues[Due date],$M68),"")</f>
        <v/>
      </c>
    </row>
    <row r="69" spans="1:17" x14ac:dyDescent="0.3">
      <c r="A69" s="85">
        <v>13</v>
      </c>
      <c r="B69" s="79">
        <f t="array" ref="B69">LARGE((tblIssues[ID])*(tblIssues[In Project]=$C$53),$A69)</f>
        <v>0</v>
      </c>
      <c r="C69" s="79" t="e">
        <f>INDEX(tblIssues[Description],$B69)</f>
        <v>#VALUE!</v>
      </c>
      <c r="D69" s="79" t="e">
        <f>INDEX(tblIssues[Assigned to],$B69)</f>
        <v>#VALUE!</v>
      </c>
      <c r="E69" s="79" t="e">
        <f>INDEX(tblIssues[Criticality],$B69)</f>
        <v>#VALUE!</v>
      </c>
      <c r="F69" s="79" t="str">
        <f>IFERROR(INDEX(tblIssues[Due date],$B69),"")</f>
        <v/>
      </c>
      <c r="G69" s="79" t="e">
        <f>INDEX(tblIssues[Closed?],$B69)</f>
        <v>#VALUE!</v>
      </c>
      <c r="I69" s="79" t="e">
        <f t="shared" si="27"/>
        <v>#VALUE!</v>
      </c>
      <c r="J69" s="79" t="e">
        <f>RANK(I69,$I$57:INDEX($I$57:$I$76,$I$53),0)</f>
        <v>#VALUE!</v>
      </c>
      <c r="M69" s="79" t="e">
        <f t="shared" si="28"/>
        <v>#N/A</v>
      </c>
      <c r="N69" s="79" t="str">
        <f>IFERROR(INDEX(tblIssues[Description],$M69),"")</f>
        <v/>
      </c>
      <c r="O69" s="79" t="str">
        <f>IFERROR(INDEX(tblIssues[Assigned to],$M69),"")</f>
        <v/>
      </c>
      <c r="P69" s="79" t="str">
        <f>IFERROR(INDEX(tblIssues[Criticality],$M69),"")</f>
        <v/>
      </c>
      <c r="Q69" s="79" t="str">
        <f>IFERROR(INDEX(tblIssues[Due date],$M69),"")</f>
        <v/>
      </c>
    </row>
    <row r="70" spans="1:17" x14ac:dyDescent="0.3">
      <c r="A70" s="85">
        <v>14</v>
      </c>
      <c r="B70" s="79">
        <f t="array" ref="B70">LARGE((tblIssues[ID])*(tblIssues[In Project]=$C$53),$A70)</f>
        <v>0</v>
      </c>
      <c r="C70" s="79" t="e">
        <f>INDEX(tblIssues[Description],$B70)</f>
        <v>#VALUE!</v>
      </c>
      <c r="D70" s="79" t="e">
        <f>INDEX(tblIssues[Assigned to],$B70)</f>
        <v>#VALUE!</v>
      </c>
      <c r="E70" s="79" t="e">
        <f>INDEX(tblIssues[Criticality],$B70)</f>
        <v>#VALUE!</v>
      </c>
      <c r="F70" s="79" t="str">
        <f>IFERROR(INDEX(tblIssues[Due date],$B70),"")</f>
        <v/>
      </c>
      <c r="G70" s="79" t="e">
        <f>INDEX(tblIssues[Closed?],$B70)</f>
        <v>#VALUE!</v>
      </c>
      <c r="I70" s="79" t="e">
        <f t="shared" si="27"/>
        <v>#VALUE!</v>
      </c>
      <c r="J70" s="79" t="e">
        <f>RANK(I70,$I$57:INDEX($I$57:$I$76,$I$53),0)</f>
        <v>#VALUE!</v>
      </c>
      <c r="M70" s="79" t="e">
        <f t="shared" si="28"/>
        <v>#N/A</v>
      </c>
      <c r="N70" s="79" t="str">
        <f>IFERROR(INDEX(tblIssues[Description],$M70),"")</f>
        <v/>
      </c>
      <c r="O70" s="79" t="str">
        <f>IFERROR(INDEX(tblIssues[Assigned to],$M70),"")</f>
        <v/>
      </c>
      <c r="P70" s="79" t="str">
        <f>IFERROR(INDEX(tblIssues[Criticality],$M70),"")</f>
        <v/>
      </c>
      <c r="Q70" s="79" t="str">
        <f>IFERROR(INDEX(tblIssues[Due date],$M70),"")</f>
        <v/>
      </c>
    </row>
    <row r="71" spans="1:17" x14ac:dyDescent="0.3">
      <c r="A71" s="85">
        <v>15</v>
      </c>
      <c r="B71" s="79">
        <f t="array" ref="B71">LARGE((tblIssues[ID])*(tblIssues[In Project]=$C$53),$A71)</f>
        <v>0</v>
      </c>
      <c r="C71" s="79" t="e">
        <f>INDEX(tblIssues[Description],$B71)</f>
        <v>#VALUE!</v>
      </c>
      <c r="D71" s="79" t="e">
        <f>INDEX(tblIssues[Assigned to],$B71)</f>
        <v>#VALUE!</v>
      </c>
      <c r="E71" s="79" t="e">
        <f>INDEX(tblIssues[Criticality],$B71)</f>
        <v>#VALUE!</v>
      </c>
      <c r="F71" s="79" t="str">
        <f>IFERROR(INDEX(tblIssues[Due date],$B71),"")</f>
        <v/>
      </c>
      <c r="G71" s="79" t="e">
        <f>INDEX(tblIssues[Closed?],$B71)</f>
        <v>#VALUE!</v>
      </c>
      <c r="I71" s="79" t="e">
        <f t="shared" si="27"/>
        <v>#VALUE!</v>
      </c>
      <c r="J71" s="79" t="e">
        <f>RANK(I71,$I$57:INDEX($I$57:$I$76,$I$53),0)</f>
        <v>#VALUE!</v>
      </c>
      <c r="M71" s="79" t="e">
        <f t="shared" si="28"/>
        <v>#N/A</v>
      </c>
      <c r="N71" s="79" t="str">
        <f>IFERROR(INDEX(tblIssues[Description],$M71),"")</f>
        <v/>
      </c>
      <c r="O71" s="79" t="str">
        <f>IFERROR(INDEX(tblIssues[Assigned to],$M71),"")</f>
        <v/>
      </c>
      <c r="P71" s="79" t="str">
        <f>IFERROR(INDEX(tblIssues[Criticality],$M71),"")</f>
        <v/>
      </c>
      <c r="Q71" s="79" t="str">
        <f>IFERROR(INDEX(tblIssues[Due date],$M71),"")</f>
        <v/>
      </c>
    </row>
    <row r="72" spans="1:17" x14ac:dyDescent="0.3">
      <c r="A72" s="85">
        <v>16</v>
      </c>
      <c r="B72" s="79">
        <f t="array" ref="B72">LARGE((tblIssues[ID])*(tblIssues[In Project]=$C$53),$A72)</f>
        <v>0</v>
      </c>
      <c r="C72" s="79" t="e">
        <f>INDEX(tblIssues[Description],$B72)</f>
        <v>#VALUE!</v>
      </c>
      <c r="D72" s="79" t="e">
        <f>INDEX(tblIssues[Assigned to],$B72)</f>
        <v>#VALUE!</v>
      </c>
      <c r="E72" s="79" t="e">
        <f>INDEX(tblIssues[Criticality],$B72)</f>
        <v>#VALUE!</v>
      </c>
      <c r="F72" s="79" t="str">
        <f>IFERROR(INDEX(tblIssues[Due date],$B72),"")</f>
        <v/>
      </c>
      <c r="G72" s="79" t="e">
        <f>INDEX(tblIssues[Closed?],$B72)</f>
        <v>#VALUE!</v>
      </c>
      <c r="I72" s="79" t="e">
        <f t="shared" si="27"/>
        <v>#VALUE!</v>
      </c>
      <c r="J72" s="79" t="e">
        <f>RANK(I72,$I$57:INDEX($I$57:$I$76,$I$53),0)</f>
        <v>#VALUE!</v>
      </c>
      <c r="M72" s="79" t="e">
        <f t="shared" si="28"/>
        <v>#N/A</v>
      </c>
      <c r="N72" s="79" t="str">
        <f>IFERROR(INDEX(tblIssues[Description],$M72),"")</f>
        <v/>
      </c>
      <c r="O72" s="79" t="str">
        <f>IFERROR(INDEX(tblIssues[Assigned to],$M72),"")</f>
        <v/>
      </c>
      <c r="P72" s="79" t="str">
        <f>IFERROR(INDEX(tblIssues[Criticality],$M72),"")</f>
        <v/>
      </c>
      <c r="Q72" s="79" t="str">
        <f>IFERROR(INDEX(tblIssues[Due date],$M72),"")</f>
        <v/>
      </c>
    </row>
    <row r="73" spans="1:17" x14ac:dyDescent="0.3">
      <c r="A73" s="85">
        <v>17</v>
      </c>
      <c r="B73" s="79">
        <f t="array" ref="B73">LARGE((tblIssues[ID])*(tblIssues[In Project]=$C$53),$A73)</f>
        <v>0</v>
      </c>
      <c r="C73" s="79" t="e">
        <f>INDEX(tblIssues[Description],$B73)</f>
        <v>#VALUE!</v>
      </c>
      <c r="D73" s="79" t="e">
        <f>INDEX(tblIssues[Assigned to],$B73)</f>
        <v>#VALUE!</v>
      </c>
      <c r="E73" s="79" t="e">
        <f>INDEX(tblIssues[Criticality],$B73)</f>
        <v>#VALUE!</v>
      </c>
      <c r="F73" s="79" t="str">
        <f>IFERROR(INDEX(tblIssues[Due date],$B73),"")</f>
        <v/>
      </c>
      <c r="G73" s="79" t="e">
        <f>INDEX(tblIssues[Closed?],$B73)</f>
        <v>#VALUE!</v>
      </c>
      <c r="I73" s="79" t="e">
        <f t="shared" si="27"/>
        <v>#VALUE!</v>
      </c>
      <c r="J73" s="79" t="e">
        <f>RANK(I73,$I$57:INDEX($I$57:$I$76,$I$53),0)</f>
        <v>#VALUE!</v>
      </c>
      <c r="M73" s="79" t="e">
        <f t="shared" si="28"/>
        <v>#N/A</v>
      </c>
      <c r="N73" s="79" t="str">
        <f>IFERROR(INDEX(tblIssues[Description],$M73),"")</f>
        <v/>
      </c>
      <c r="O73" s="79" t="str">
        <f>IFERROR(INDEX(tblIssues[Assigned to],$M73),"")</f>
        <v/>
      </c>
      <c r="P73" s="79" t="str">
        <f>IFERROR(INDEX(tblIssues[Criticality],$M73),"")</f>
        <v/>
      </c>
      <c r="Q73" s="79" t="str">
        <f>IFERROR(INDEX(tblIssues[Due date],$M73),"")</f>
        <v/>
      </c>
    </row>
    <row r="74" spans="1:17" x14ac:dyDescent="0.3">
      <c r="A74" s="85">
        <v>18</v>
      </c>
      <c r="B74" s="79">
        <f t="array" ref="B74">LARGE((tblIssues[ID])*(tblIssues[In Project]=$C$53),$A74)</f>
        <v>0</v>
      </c>
      <c r="C74" s="79" t="e">
        <f>INDEX(tblIssues[Description],$B74)</f>
        <v>#VALUE!</v>
      </c>
      <c r="D74" s="79" t="e">
        <f>INDEX(tblIssues[Assigned to],$B74)</f>
        <v>#VALUE!</v>
      </c>
      <c r="E74" s="79" t="e">
        <f>INDEX(tblIssues[Criticality],$B74)</f>
        <v>#VALUE!</v>
      </c>
      <c r="F74" s="79" t="str">
        <f>IFERROR(INDEX(tblIssues[Due date],$B74),"")</f>
        <v/>
      </c>
      <c r="G74" s="79" t="e">
        <f>INDEX(tblIssues[Closed?],$B74)</f>
        <v>#VALUE!</v>
      </c>
      <c r="I74" s="79" t="e">
        <f t="shared" si="27"/>
        <v>#VALUE!</v>
      </c>
      <c r="J74" s="79" t="e">
        <f>RANK(I74,$I$57:INDEX($I$57:$I$76,$I$53),0)</f>
        <v>#VALUE!</v>
      </c>
      <c r="M74" s="79" t="e">
        <f t="shared" si="28"/>
        <v>#N/A</v>
      </c>
      <c r="N74" s="79" t="str">
        <f>IFERROR(INDEX(tblIssues[Description],$M74),"")</f>
        <v/>
      </c>
      <c r="O74" s="79" t="str">
        <f>IFERROR(INDEX(tblIssues[Assigned to],$M74),"")</f>
        <v/>
      </c>
      <c r="P74" s="79" t="str">
        <f>IFERROR(INDEX(tblIssues[Criticality],$M74),"")</f>
        <v/>
      </c>
      <c r="Q74" s="79" t="str">
        <f>IFERROR(INDEX(tblIssues[Due date],$M74),"")</f>
        <v/>
      </c>
    </row>
    <row r="75" spans="1:17" x14ac:dyDescent="0.3">
      <c r="A75" s="85">
        <v>19</v>
      </c>
      <c r="B75" s="79">
        <f t="array" ref="B75">LARGE((tblIssues[ID])*(tblIssues[In Project]=$C$53),$A75)</f>
        <v>0</v>
      </c>
      <c r="C75" s="79" t="e">
        <f>INDEX(tblIssues[Description],$B75)</f>
        <v>#VALUE!</v>
      </c>
      <c r="D75" s="79" t="e">
        <f>INDEX(tblIssues[Assigned to],$B75)</f>
        <v>#VALUE!</v>
      </c>
      <c r="E75" s="79" t="e">
        <f>INDEX(tblIssues[Criticality],$B75)</f>
        <v>#VALUE!</v>
      </c>
      <c r="F75" s="79" t="str">
        <f>IFERROR(INDEX(tblIssues[Due date],$B75),"")</f>
        <v/>
      </c>
      <c r="G75" s="79" t="e">
        <f>INDEX(tblIssues[Closed?],$B75)</f>
        <v>#VALUE!</v>
      </c>
      <c r="I75" s="79" t="e">
        <f t="shared" si="27"/>
        <v>#VALUE!</v>
      </c>
      <c r="J75" s="79" t="e">
        <f>RANK(I75,$I$57:INDEX($I$57:$I$76,$I$53),0)</f>
        <v>#VALUE!</v>
      </c>
      <c r="M75" s="79" t="e">
        <f t="shared" si="28"/>
        <v>#N/A</v>
      </c>
      <c r="N75" s="79" t="str">
        <f>IFERROR(INDEX(tblIssues[Description],$M75),"")</f>
        <v/>
      </c>
      <c r="O75" s="79" t="str">
        <f>IFERROR(INDEX(tblIssues[Assigned to],$M75),"")</f>
        <v/>
      </c>
      <c r="P75" s="79" t="str">
        <f>IFERROR(INDEX(tblIssues[Criticality],$M75),"")</f>
        <v/>
      </c>
      <c r="Q75" s="79" t="str">
        <f>IFERROR(INDEX(tblIssues[Due date],$M75),"")</f>
        <v/>
      </c>
    </row>
    <row r="76" spans="1:17" x14ac:dyDescent="0.3">
      <c r="A76" s="85">
        <v>20</v>
      </c>
      <c r="B76" s="79">
        <f t="array" ref="B76">LARGE((tblIssues[ID])*(tblIssues[In Project]=$C$53),$A76)</f>
        <v>0</v>
      </c>
      <c r="C76" s="79" t="e">
        <f>INDEX(tblIssues[Description],$B76)</f>
        <v>#VALUE!</v>
      </c>
      <c r="D76" s="79" t="e">
        <f>INDEX(tblIssues[Assigned to],$B76)</f>
        <v>#VALUE!</v>
      </c>
      <c r="E76" s="79" t="e">
        <f>INDEX(tblIssues[Criticality],$B76)</f>
        <v>#VALUE!</v>
      </c>
      <c r="F76" s="79" t="str">
        <f>IFERROR(INDEX(tblIssues[Due date],$B76),"")</f>
        <v/>
      </c>
      <c r="G76" s="79" t="e">
        <f>INDEX(tblIssues[Closed?],$B76)</f>
        <v>#VALUE!</v>
      </c>
      <c r="I76" s="79" t="e">
        <f t="shared" si="27"/>
        <v>#VALUE!</v>
      </c>
      <c r="J76" s="79" t="e">
        <f>RANK(I76,$I$57:INDEX($I$57:$I$76,$I$53),0)</f>
        <v>#VALUE!</v>
      </c>
      <c r="M76" s="79" t="e">
        <f t="shared" si="28"/>
        <v>#N/A</v>
      </c>
      <c r="N76" s="79" t="str">
        <f>IFERROR(INDEX(tblIssues[Description],$M76),"")</f>
        <v/>
      </c>
      <c r="O76" s="79" t="str">
        <f>IFERROR(INDEX(tblIssues[Assigned to],$M76),"")</f>
        <v/>
      </c>
      <c r="P76" s="79" t="str">
        <f>IFERROR(INDEX(tblIssues[Criticality],$M76),"")</f>
        <v/>
      </c>
      <c r="Q76" s="79" t="str">
        <f>IFERROR(INDEX(tblIssues[Due date],$M76),"")</f>
        <v/>
      </c>
    </row>
    <row r="78" spans="1:17" x14ac:dyDescent="0.3">
      <c r="B78" t="s">
        <v>159</v>
      </c>
      <c r="C78">
        <v>25</v>
      </c>
    </row>
    <row r="79" spans="1:17" x14ac:dyDescent="0.3">
      <c r="B79" s="86" t="str">
        <f>TEXT(Q57,"""[""dd-mmm-yyyy""]"";;;")</f>
        <v/>
      </c>
      <c r="C79" s="86" t="str">
        <f>LEFT(N57,$C$78)&amp;REPT("…",LEN(N57)&gt;$C$78)</f>
        <v>Some very simple issue</v>
      </c>
    </row>
    <row r="80" spans="1:17" x14ac:dyDescent="0.3">
      <c r="B80" s="86" t="str">
        <f t="shared" ref="B80:B83" si="29">TEXT(Q58,"""[""dd-mmm-yyyy""]"";;;")</f>
        <v>[03-Dec-2012]</v>
      </c>
      <c r="C80" s="86" t="str">
        <f t="shared" ref="C80:C83" si="30">LEFT(N58,$C$78)&amp;REPT("…",LEN(N58)&gt;$C$78)</f>
        <v>Some very unforeseen issu…</v>
      </c>
    </row>
    <row r="81" spans="1:14" x14ac:dyDescent="0.3">
      <c r="B81" s="86" t="str">
        <f t="shared" si="29"/>
        <v>[03-Dec-2012]</v>
      </c>
      <c r="C81" s="86" t="str">
        <f t="shared" si="30"/>
        <v>Some very simple issue</v>
      </c>
    </row>
    <row r="82" spans="1:14" x14ac:dyDescent="0.3">
      <c r="B82" s="86" t="str">
        <f t="shared" si="29"/>
        <v>[05-Dec-2012]</v>
      </c>
      <c r="C82" s="86" t="str">
        <f t="shared" si="30"/>
        <v>Some very simple issue</v>
      </c>
    </row>
    <row r="83" spans="1:14" x14ac:dyDescent="0.3">
      <c r="B83" s="86" t="str">
        <f t="shared" si="29"/>
        <v>[05-Dec-2012]</v>
      </c>
      <c r="C83" s="86" t="str">
        <f t="shared" si="30"/>
        <v>Some very simple issue</v>
      </c>
    </row>
    <row r="85" spans="1:14" ht="64.5" x14ac:dyDescent="0.3">
      <c r="B85" s="180" t="str">
        <f>B79&amp;CHAR(10)&amp;B80&amp;CHAR(10)&amp;B81&amp;CHAR(10)&amp;B82&amp;CHAR(10)&amp;B83</f>
        <v xml:space="preserve">
[03-Dec-2012]
[03-Dec-2012]
[05-Dec-2012]
[05-Dec-2012]</v>
      </c>
      <c r="C85" s="180" t="str">
        <f>C79&amp;CHAR(10)&amp;C80&amp;CHAR(10)&amp;C81&amp;CHAR(10)&amp;C82&amp;CHAR(10)&amp;C83</f>
        <v>Some very simple issue
Some very unforeseen issu…
Some very simple issue
Some very simple issue
Some very simple issue</v>
      </c>
    </row>
    <row r="87" spans="1:14" x14ac:dyDescent="0.3">
      <c r="A87" s="32" t="s">
        <v>161</v>
      </c>
      <c r="G87">
        <f>COUNTIF($B$90:$B$109,"&gt;0")</f>
        <v>2</v>
      </c>
    </row>
    <row r="88" spans="1:14" x14ac:dyDescent="0.3">
      <c r="G88" t="s">
        <v>165</v>
      </c>
      <c r="K88" t="s">
        <v>157</v>
      </c>
    </row>
    <row r="89" spans="1:14" x14ac:dyDescent="0.3">
      <c r="B89" s="88" t="s">
        <v>48</v>
      </c>
      <c r="C89" s="88" t="str">
        <f>'Risks &amp; Issues'!D3</f>
        <v>Risk Description</v>
      </c>
      <c r="D89" s="88" t="str">
        <f>'Risks &amp; Issues'!E3</f>
        <v>Mitigation Plan</v>
      </c>
      <c r="E89" s="89" t="str">
        <f>'Risks &amp; Issues'!F3</f>
        <v>Severity</v>
      </c>
      <c r="G89" s="92" t="s">
        <v>155</v>
      </c>
      <c r="H89" s="93" t="s">
        <v>156</v>
      </c>
      <c r="K89" s="88" t="str">
        <f t="shared" ref="K89:N89" si="31">B89</f>
        <v>ID</v>
      </c>
      <c r="L89" s="88" t="str">
        <f t="shared" si="31"/>
        <v>Risk Description</v>
      </c>
      <c r="M89" s="88" t="str">
        <f t="shared" si="31"/>
        <v>Mitigation Plan</v>
      </c>
      <c r="N89" s="89" t="str">
        <f t="shared" si="31"/>
        <v>Severity</v>
      </c>
    </row>
    <row r="90" spans="1:14" x14ac:dyDescent="0.3">
      <c r="A90" s="87">
        <v>1</v>
      </c>
      <c r="B90" s="79">
        <f t="array" ref="B90">LARGE((tblRisks[ID])*(tblRisks[In Project]=$C$53),$A90)</f>
        <v>16</v>
      </c>
      <c r="C90" s="79" t="str">
        <f>INDEX(tblRisks[Risk Description],$B90)</f>
        <v>Some very unforeseen risk</v>
      </c>
      <c r="D90" s="79" t="str">
        <f>INDEX(tblRisks[Mitigation Plan],$B90)</f>
        <v/>
      </c>
      <c r="E90" s="79">
        <f>INDEX(tblRisks[Severity],$B90)</f>
        <v>1</v>
      </c>
      <c r="G90" s="90">
        <f>E90+B90/10000</f>
        <v>1.0016</v>
      </c>
      <c r="H90" s="91">
        <f t="array" ref="H90">RANK(G90,$G$90:INDEX($G$90:$G$109,$G$87),0)</f>
        <v>2</v>
      </c>
      <c r="K90" s="79">
        <f>INDEX($B$90:$B$109,MATCH($A90,$H$90:$H$109,0))</f>
        <v>8</v>
      </c>
      <c r="L90" s="79" t="str">
        <f>INDEX(tblRisks[Risk Description],$K90)</f>
        <v>Some complicated risk</v>
      </c>
      <c r="M90" s="79" t="str">
        <f>INDEX(tblRisks[Mitigation Plan],$K90)</f>
        <v/>
      </c>
      <c r="N90" s="79">
        <f>INDEX(tblRisks[Severity],$K90)</f>
        <v>3</v>
      </c>
    </row>
    <row r="91" spans="1:14" x14ac:dyDescent="0.3">
      <c r="A91" s="87">
        <v>2</v>
      </c>
      <c r="B91" s="79">
        <f t="array" ref="B91">LARGE((tblRisks[ID])*(tblRisks[In Project]=$C$53),$A91)</f>
        <v>8</v>
      </c>
      <c r="C91" s="79" t="str">
        <f>INDEX(tblRisks[Risk Description],$B91)</f>
        <v>Some complicated risk</v>
      </c>
      <c r="D91" s="79" t="str">
        <f>INDEX(tblRisks[Mitigation Plan],$B91)</f>
        <v/>
      </c>
      <c r="E91" s="79">
        <f>INDEX(tblRisks[Severity],$B91)</f>
        <v>3</v>
      </c>
      <c r="G91" s="90">
        <f t="shared" ref="G91:G109" si="32">E91+B91/10000</f>
        <v>3.0007999999999999</v>
      </c>
      <c r="H91" s="91">
        <f t="array" ref="H91">RANK(G91,$G$90:INDEX($G$90:$G$109,$G$87),0)</f>
        <v>1</v>
      </c>
      <c r="K91" s="79">
        <f t="shared" ref="K91:K109" si="33">INDEX($B$90:$B$109,MATCH($A91,$H$90:$H$109,0))</f>
        <v>16</v>
      </c>
      <c r="L91" s="79" t="str">
        <f>INDEX(tblRisks[Risk Description],$K91)</f>
        <v>Some very unforeseen risk</v>
      </c>
      <c r="M91" s="79" t="str">
        <f>INDEX(tblRisks[Mitigation Plan],$K91)</f>
        <v/>
      </c>
      <c r="N91" s="79">
        <f>INDEX(tblRisks[Severity],$K91)</f>
        <v>1</v>
      </c>
    </row>
    <row r="92" spans="1:14" x14ac:dyDescent="0.3">
      <c r="A92" s="87">
        <v>3</v>
      </c>
      <c r="B92" s="79">
        <f t="array" ref="B92">LARGE((tblRisks[ID])*(tblRisks[In Project]=$C$53),$A92)</f>
        <v>0</v>
      </c>
      <c r="C92" s="79" t="e">
        <f>INDEX(tblRisks[Risk Description],$B92)</f>
        <v>#VALUE!</v>
      </c>
      <c r="D92" s="79" t="e">
        <f>INDEX(tblRisks[Mitigation Plan],$B92)</f>
        <v>#VALUE!</v>
      </c>
      <c r="E92" s="79" t="e">
        <f>INDEX(tblRisks[Severity],$B92)</f>
        <v>#VALUE!</v>
      </c>
      <c r="G92" s="90" t="e">
        <f t="shared" si="32"/>
        <v>#VALUE!</v>
      </c>
      <c r="H92" s="91" t="e">
        <f t="array" ref="H92">RANK(G92,$G$90:INDEX($G$90:$G$109,$G$87),0)</f>
        <v>#VALUE!</v>
      </c>
      <c r="K92" s="79" t="e">
        <f t="shared" si="33"/>
        <v>#N/A</v>
      </c>
      <c r="L92" s="79" t="e">
        <f>INDEX(tblRisks[Risk Description],$K92)</f>
        <v>#N/A</v>
      </c>
      <c r="M92" s="79" t="e">
        <f>INDEX(tblRisks[Mitigation Plan],$K92)</f>
        <v>#N/A</v>
      </c>
      <c r="N92" s="79" t="e">
        <f>INDEX(tblRisks[Severity],$K92)</f>
        <v>#N/A</v>
      </c>
    </row>
    <row r="93" spans="1:14" x14ac:dyDescent="0.3">
      <c r="A93" s="87">
        <v>4</v>
      </c>
      <c r="B93" s="79">
        <f t="array" ref="B93">LARGE((tblRisks[ID])*(tblRisks[In Project]=$C$53),$A93)</f>
        <v>0</v>
      </c>
      <c r="C93" s="79" t="e">
        <f>INDEX(tblRisks[Risk Description],$B93)</f>
        <v>#VALUE!</v>
      </c>
      <c r="D93" s="79" t="e">
        <f>INDEX(tblRisks[Mitigation Plan],$B93)</f>
        <v>#VALUE!</v>
      </c>
      <c r="E93" s="79" t="e">
        <f>INDEX(tblRisks[Severity],$B93)</f>
        <v>#VALUE!</v>
      </c>
      <c r="G93" s="90" t="e">
        <f t="shared" si="32"/>
        <v>#VALUE!</v>
      </c>
      <c r="H93" s="91" t="e">
        <f t="array" ref="H93">RANK(G93,$G$90:INDEX($G$90:$G$109,$G$87),0)</f>
        <v>#VALUE!</v>
      </c>
      <c r="K93" s="79" t="e">
        <f t="shared" si="33"/>
        <v>#N/A</v>
      </c>
      <c r="L93" s="79" t="e">
        <f>INDEX(tblRisks[Risk Description],$K93)</f>
        <v>#N/A</v>
      </c>
      <c r="M93" s="79" t="e">
        <f>INDEX(tblRisks[Mitigation Plan],$K93)</f>
        <v>#N/A</v>
      </c>
      <c r="N93" s="79" t="e">
        <f>INDEX(tblRisks[Severity],$K93)</f>
        <v>#N/A</v>
      </c>
    </row>
    <row r="94" spans="1:14" x14ac:dyDescent="0.3">
      <c r="A94" s="87">
        <v>5</v>
      </c>
      <c r="B94" s="79">
        <f t="array" ref="B94">LARGE((tblRisks[ID])*(tblRisks[In Project]=$C$53),$A94)</f>
        <v>0</v>
      </c>
      <c r="C94" s="79" t="e">
        <f>INDEX(tblRisks[Risk Description],$B94)</f>
        <v>#VALUE!</v>
      </c>
      <c r="D94" s="79" t="e">
        <f>INDEX(tblRisks[Mitigation Plan],$B94)</f>
        <v>#VALUE!</v>
      </c>
      <c r="E94" s="79" t="e">
        <f>INDEX(tblRisks[Severity],$B94)</f>
        <v>#VALUE!</v>
      </c>
      <c r="G94" s="90" t="e">
        <f t="shared" si="32"/>
        <v>#VALUE!</v>
      </c>
      <c r="H94" s="91" t="e">
        <f t="array" ref="H94">RANK(G94,$G$90:INDEX($G$90:$G$109,$G$87),0)</f>
        <v>#VALUE!</v>
      </c>
      <c r="K94" s="79" t="e">
        <f t="shared" si="33"/>
        <v>#N/A</v>
      </c>
      <c r="L94" s="79" t="e">
        <f>INDEX(tblRisks[Risk Description],$K94)</f>
        <v>#N/A</v>
      </c>
      <c r="M94" s="79" t="e">
        <f>INDEX(tblRisks[Mitigation Plan],$K94)</f>
        <v>#N/A</v>
      </c>
      <c r="N94" s="79" t="e">
        <f>INDEX(tblRisks[Severity],$K94)</f>
        <v>#N/A</v>
      </c>
    </row>
    <row r="95" spans="1:14" x14ac:dyDescent="0.3">
      <c r="A95" s="87">
        <v>6</v>
      </c>
      <c r="B95" s="79">
        <f t="array" ref="B95">LARGE((tblRisks[ID])*(tblRisks[In Project]=$C$53),$A95)</f>
        <v>0</v>
      </c>
      <c r="C95" s="79" t="e">
        <f>INDEX(tblRisks[Risk Description],$B95)</f>
        <v>#VALUE!</v>
      </c>
      <c r="D95" s="79" t="e">
        <f>INDEX(tblRisks[Mitigation Plan],$B95)</f>
        <v>#VALUE!</v>
      </c>
      <c r="E95" s="79" t="e">
        <f>INDEX(tblRisks[Severity],$B95)</f>
        <v>#VALUE!</v>
      </c>
      <c r="G95" s="90" t="e">
        <f t="shared" si="32"/>
        <v>#VALUE!</v>
      </c>
      <c r="H95" s="91" t="e">
        <f t="array" ref="H95">RANK(G95,$G$90:INDEX($G$90:$G$109,$G$87),0)</f>
        <v>#VALUE!</v>
      </c>
      <c r="K95" s="79" t="e">
        <f t="shared" si="33"/>
        <v>#N/A</v>
      </c>
      <c r="L95" s="79" t="e">
        <f>INDEX(tblRisks[Risk Description],$K95)</f>
        <v>#N/A</v>
      </c>
      <c r="M95" s="79" t="e">
        <f>INDEX(tblRisks[Mitigation Plan],$K95)</f>
        <v>#N/A</v>
      </c>
      <c r="N95" s="79" t="e">
        <f>INDEX(tblRisks[Severity],$K95)</f>
        <v>#N/A</v>
      </c>
    </row>
    <row r="96" spans="1:14" x14ac:dyDescent="0.3">
      <c r="A96" s="87">
        <v>7</v>
      </c>
      <c r="B96" s="79">
        <f t="array" ref="B96">LARGE((tblRisks[ID])*(tblRisks[In Project]=$C$53),$A96)</f>
        <v>0</v>
      </c>
      <c r="C96" s="79" t="e">
        <f>INDEX(tblRisks[Risk Description],$B96)</f>
        <v>#VALUE!</v>
      </c>
      <c r="D96" s="79" t="e">
        <f>INDEX(tblRisks[Mitigation Plan],$B96)</f>
        <v>#VALUE!</v>
      </c>
      <c r="E96" s="79" t="e">
        <f>INDEX(tblRisks[Severity],$B96)</f>
        <v>#VALUE!</v>
      </c>
      <c r="G96" s="90" t="e">
        <f t="shared" si="32"/>
        <v>#VALUE!</v>
      </c>
      <c r="H96" s="91" t="e">
        <f t="array" ref="H96">RANK(G96,$G$90:INDEX($G$90:$G$109,$G$87),0)</f>
        <v>#VALUE!</v>
      </c>
      <c r="K96" s="79" t="e">
        <f t="shared" si="33"/>
        <v>#N/A</v>
      </c>
      <c r="L96" s="79" t="e">
        <f>INDEX(tblRisks[Risk Description],$K96)</f>
        <v>#N/A</v>
      </c>
      <c r="M96" s="79" t="e">
        <f>INDEX(tblRisks[Mitigation Plan],$K96)</f>
        <v>#N/A</v>
      </c>
      <c r="N96" s="79" t="e">
        <f>INDEX(tblRisks[Severity],$K96)</f>
        <v>#N/A</v>
      </c>
    </row>
    <row r="97" spans="1:14" x14ac:dyDescent="0.3">
      <c r="A97" s="87">
        <v>8</v>
      </c>
      <c r="B97" s="79">
        <f t="array" ref="B97">LARGE((tblRisks[ID])*(tblRisks[In Project]=$C$53),$A97)</f>
        <v>0</v>
      </c>
      <c r="C97" s="79" t="e">
        <f>INDEX(tblRisks[Risk Description],$B97)</f>
        <v>#VALUE!</v>
      </c>
      <c r="D97" s="79" t="e">
        <f>INDEX(tblRisks[Mitigation Plan],$B97)</f>
        <v>#VALUE!</v>
      </c>
      <c r="E97" s="79" t="e">
        <f>INDEX(tblRisks[Severity],$B97)</f>
        <v>#VALUE!</v>
      </c>
      <c r="G97" s="90" t="e">
        <f t="shared" si="32"/>
        <v>#VALUE!</v>
      </c>
      <c r="H97" s="91" t="e">
        <f t="array" ref="H97">RANK(G97,$G$90:INDEX($G$90:$G$109,$G$87),0)</f>
        <v>#VALUE!</v>
      </c>
      <c r="K97" s="79" t="e">
        <f t="shared" si="33"/>
        <v>#N/A</v>
      </c>
      <c r="L97" s="79" t="e">
        <f>INDEX(tblRisks[Risk Description],$K97)</f>
        <v>#N/A</v>
      </c>
      <c r="M97" s="79" t="e">
        <f>INDEX(tblRisks[Mitigation Plan],$K97)</f>
        <v>#N/A</v>
      </c>
      <c r="N97" s="79" t="e">
        <f>INDEX(tblRisks[Severity],$K97)</f>
        <v>#N/A</v>
      </c>
    </row>
    <row r="98" spans="1:14" x14ac:dyDescent="0.3">
      <c r="A98" s="87">
        <v>9</v>
      </c>
      <c r="B98" s="79">
        <f t="array" ref="B98">LARGE((tblRisks[ID])*(tblRisks[In Project]=$C$53),$A98)</f>
        <v>0</v>
      </c>
      <c r="C98" s="79" t="e">
        <f>INDEX(tblRisks[Risk Description],$B98)</f>
        <v>#VALUE!</v>
      </c>
      <c r="D98" s="79" t="e">
        <f>INDEX(tblRisks[Mitigation Plan],$B98)</f>
        <v>#VALUE!</v>
      </c>
      <c r="E98" s="79" t="e">
        <f>INDEX(tblRisks[Severity],$B98)</f>
        <v>#VALUE!</v>
      </c>
      <c r="G98" s="90" t="e">
        <f t="shared" si="32"/>
        <v>#VALUE!</v>
      </c>
      <c r="H98" s="91" t="e">
        <f t="array" ref="H98">RANK(G98,$G$90:INDEX($G$90:$G$109,$G$87),0)</f>
        <v>#VALUE!</v>
      </c>
      <c r="K98" s="79" t="e">
        <f t="shared" si="33"/>
        <v>#N/A</v>
      </c>
      <c r="L98" s="79" t="e">
        <f>INDEX(tblRisks[Risk Description],$K98)</f>
        <v>#N/A</v>
      </c>
      <c r="M98" s="79" t="e">
        <f>INDEX(tblRisks[Mitigation Plan],$K98)</f>
        <v>#N/A</v>
      </c>
      <c r="N98" s="79" t="e">
        <f>INDEX(tblRisks[Severity],$K98)</f>
        <v>#N/A</v>
      </c>
    </row>
    <row r="99" spans="1:14" x14ac:dyDescent="0.3">
      <c r="A99" s="87">
        <v>10</v>
      </c>
      <c r="B99" s="79">
        <f t="array" ref="B99">LARGE((tblRisks[ID])*(tblRisks[In Project]=$C$53),$A99)</f>
        <v>0</v>
      </c>
      <c r="C99" s="79" t="e">
        <f>INDEX(tblRisks[Risk Description],$B99)</f>
        <v>#VALUE!</v>
      </c>
      <c r="D99" s="79" t="e">
        <f>INDEX(tblRisks[Mitigation Plan],$B99)</f>
        <v>#VALUE!</v>
      </c>
      <c r="E99" s="79" t="e">
        <f>INDEX(tblRisks[Severity],$B99)</f>
        <v>#VALUE!</v>
      </c>
      <c r="G99" s="90" t="e">
        <f t="shared" si="32"/>
        <v>#VALUE!</v>
      </c>
      <c r="H99" s="91" t="e">
        <f t="array" ref="H99">RANK(G99,$G$90:INDEX($G$90:$G$109,$G$87),0)</f>
        <v>#VALUE!</v>
      </c>
      <c r="K99" s="79" t="e">
        <f t="shared" si="33"/>
        <v>#N/A</v>
      </c>
      <c r="L99" s="79" t="e">
        <f>INDEX(tblRisks[Risk Description],$K99)</f>
        <v>#N/A</v>
      </c>
      <c r="M99" s="79" t="e">
        <f>INDEX(tblRisks[Mitigation Plan],$K99)</f>
        <v>#N/A</v>
      </c>
      <c r="N99" s="79" t="e">
        <f>INDEX(tblRisks[Severity],$K99)</f>
        <v>#N/A</v>
      </c>
    </row>
    <row r="100" spans="1:14" x14ac:dyDescent="0.3">
      <c r="A100" s="87">
        <v>11</v>
      </c>
      <c r="B100" s="79">
        <f t="array" ref="B100">LARGE((tblRisks[ID])*(tblRisks[In Project]=$C$53),$A100)</f>
        <v>0</v>
      </c>
      <c r="C100" s="79" t="e">
        <f>INDEX(tblRisks[Risk Description],$B100)</f>
        <v>#VALUE!</v>
      </c>
      <c r="D100" s="79" t="e">
        <f>INDEX(tblRisks[Mitigation Plan],$B100)</f>
        <v>#VALUE!</v>
      </c>
      <c r="E100" s="79" t="e">
        <f>INDEX(tblRisks[Severity],$B100)</f>
        <v>#VALUE!</v>
      </c>
      <c r="G100" s="90" t="e">
        <f t="shared" si="32"/>
        <v>#VALUE!</v>
      </c>
      <c r="H100" s="91" t="e">
        <f t="array" ref="H100">RANK(G100,$G$90:INDEX($G$90:$G$109,$G$87),0)</f>
        <v>#VALUE!</v>
      </c>
      <c r="K100" s="79" t="e">
        <f t="shared" si="33"/>
        <v>#N/A</v>
      </c>
      <c r="L100" s="79" t="e">
        <f>INDEX(tblRisks[Risk Description],$K100)</f>
        <v>#N/A</v>
      </c>
      <c r="M100" s="79" t="e">
        <f>INDEX(tblRisks[Mitigation Plan],$K100)</f>
        <v>#N/A</v>
      </c>
      <c r="N100" s="79" t="e">
        <f>INDEX(tblRisks[Severity],$K100)</f>
        <v>#N/A</v>
      </c>
    </row>
    <row r="101" spans="1:14" x14ac:dyDescent="0.3">
      <c r="A101" s="87">
        <v>12</v>
      </c>
      <c r="B101" s="79">
        <f t="array" ref="B101">LARGE((tblRisks[ID])*(tblRisks[In Project]=$C$53),$A101)</f>
        <v>0</v>
      </c>
      <c r="C101" s="79" t="e">
        <f>INDEX(tblRisks[Risk Description],$B101)</f>
        <v>#VALUE!</v>
      </c>
      <c r="D101" s="79" t="e">
        <f>INDEX(tblRisks[Mitigation Plan],$B101)</f>
        <v>#VALUE!</v>
      </c>
      <c r="E101" s="79" t="e">
        <f>INDEX(tblRisks[Severity],$B101)</f>
        <v>#VALUE!</v>
      </c>
      <c r="G101" s="90" t="e">
        <f t="shared" si="32"/>
        <v>#VALUE!</v>
      </c>
      <c r="H101" s="91" t="e">
        <f t="array" ref="H101">RANK(G101,$G$90:INDEX($G$90:$G$109,$G$87),0)</f>
        <v>#VALUE!</v>
      </c>
      <c r="K101" s="79" t="e">
        <f t="shared" si="33"/>
        <v>#N/A</v>
      </c>
      <c r="L101" s="79" t="e">
        <f>INDEX(tblRisks[Risk Description],$K101)</f>
        <v>#N/A</v>
      </c>
      <c r="M101" s="79" t="e">
        <f>INDEX(tblRisks[Mitigation Plan],$K101)</f>
        <v>#N/A</v>
      </c>
      <c r="N101" s="79" t="e">
        <f>INDEX(tblRisks[Severity],$K101)</f>
        <v>#N/A</v>
      </c>
    </row>
    <row r="102" spans="1:14" x14ac:dyDescent="0.3">
      <c r="A102" s="87">
        <v>13</v>
      </c>
      <c r="B102" s="79">
        <f t="array" ref="B102">LARGE((tblRisks[ID])*(tblRisks[In Project]=$C$53),$A102)</f>
        <v>0</v>
      </c>
      <c r="C102" s="79" t="e">
        <f>INDEX(tblRisks[Risk Description],$B102)</f>
        <v>#VALUE!</v>
      </c>
      <c r="D102" s="79" t="e">
        <f>INDEX(tblRisks[Mitigation Plan],$B102)</f>
        <v>#VALUE!</v>
      </c>
      <c r="E102" s="79" t="e">
        <f>INDEX(tblRisks[Severity],$B102)</f>
        <v>#VALUE!</v>
      </c>
      <c r="G102" s="90" t="e">
        <f t="shared" si="32"/>
        <v>#VALUE!</v>
      </c>
      <c r="H102" s="91" t="e">
        <f t="array" ref="H102">RANK(G102,$G$90:INDEX($G$90:$G$109,$G$87),0)</f>
        <v>#VALUE!</v>
      </c>
      <c r="K102" s="79" t="e">
        <f t="shared" si="33"/>
        <v>#N/A</v>
      </c>
      <c r="L102" s="79" t="e">
        <f>INDEX(tblRisks[Risk Description],$K102)</f>
        <v>#N/A</v>
      </c>
      <c r="M102" s="79" t="e">
        <f>INDEX(tblRisks[Mitigation Plan],$K102)</f>
        <v>#N/A</v>
      </c>
      <c r="N102" s="79" t="e">
        <f>INDEX(tblRisks[Severity],$K102)</f>
        <v>#N/A</v>
      </c>
    </row>
    <row r="103" spans="1:14" x14ac:dyDescent="0.3">
      <c r="A103" s="87">
        <v>14</v>
      </c>
      <c r="B103" s="79">
        <f t="array" ref="B103">LARGE((tblRisks[ID])*(tblRisks[In Project]=$C$53),$A103)</f>
        <v>0</v>
      </c>
      <c r="C103" s="79" t="e">
        <f>INDEX(tblRisks[Risk Description],$B103)</f>
        <v>#VALUE!</v>
      </c>
      <c r="D103" s="79" t="e">
        <f>INDEX(tblRisks[Mitigation Plan],$B103)</f>
        <v>#VALUE!</v>
      </c>
      <c r="E103" s="79" t="e">
        <f>INDEX(tblRisks[Severity],$B103)</f>
        <v>#VALUE!</v>
      </c>
      <c r="G103" s="90" t="e">
        <f t="shared" si="32"/>
        <v>#VALUE!</v>
      </c>
      <c r="H103" s="91" t="e">
        <f t="array" ref="H103">RANK(G103,$G$90:INDEX($G$90:$G$109,$G$87),0)</f>
        <v>#VALUE!</v>
      </c>
      <c r="K103" s="79" t="e">
        <f t="shared" si="33"/>
        <v>#N/A</v>
      </c>
      <c r="L103" s="79" t="e">
        <f>INDEX(tblRisks[Risk Description],$K103)</f>
        <v>#N/A</v>
      </c>
      <c r="M103" s="79" t="e">
        <f>INDEX(tblRisks[Mitigation Plan],$K103)</f>
        <v>#N/A</v>
      </c>
      <c r="N103" s="79" t="e">
        <f>INDEX(tblRisks[Severity],$K103)</f>
        <v>#N/A</v>
      </c>
    </row>
    <row r="104" spans="1:14" x14ac:dyDescent="0.3">
      <c r="A104" s="87">
        <v>15</v>
      </c>
      <c r="B104" s="79">
        <f t="array" ref="B104">LARGE((tblRisks[ID])*(tblRisks[In Project]=$C$53),$A104)</f>
        <v>0</v>
      </c>
      <c r="C104" s="79" t="e">
        <f>INDEX(tblRisks[Risk Description],$B104)</f>
        <v>#VALUE!</v>
      </c>
      <c r="D104" s="79" t="e">
        <f>INDEX(tblRisks[Mitigation Plan],$B104)</f>
        <v>#VALUE!</v>
      </c>
      <c r="E104" s="79" t="e">
        <f>INDEX(tblRisks[Severity],$B104)</f>
        <v>#VALUE!</v>
      </c>
      <c r="G104" s="90" t="e">
        <f t="shared" si="32"/>
        <v>#VALUE!</v>
      </c>
      <c r="H104" s="91" t="e">
        <f t="array" ref="H104">RANK(G104,$G$90:INDEX($G$90:$G$109,$G$87),0)</f>
        <v>#VALUE!</v>
      </c>
      <c r="K104" s="79" t="e">
        <f t="shared" si="33"/>
        <v>#N/A</v>
      </c>
      <c r="L104" s="79" t="e">
        <f>INDEX(tblRisks[Risk Description],$K104)</f>
        <v>#N/A</v>
      </c>
      <c r="M104" s="79" t="e">
        <f>INDEX(tblRisks[Mitigation Plan],$K104)</f>
        <v>#N/A</v>
      </c>
      <c r="N104" s="79" t="e">
        <f>INDEX(tblRisks[Severity],$K104)</f>
        <v>#N/A</v>
      </c>
    </row>
    <row r="105" spans="1:14" x14ac:dyDescent="0.3">
      <c r="A105" s="87">
        <v>16</v>
      </c>
      <c r="B105" s="79">
        <f t="array" ref="B105">LARGE((tblRisks[ID])*(tblRisks[In Project]=$C$53),$A105)</f>
        <v>0</v>
      </c>
      <c r="C105" s="79" t="e">
        <f>INDEX(tblRisks[Risk Description],$B105)</f>
        <v>#VALUE!</v>
      </c>
      <c r="D105" s="79" t="e">
        <f>INDEX(tblRisks[Mitigation Plan],$B105)</f>
        <v>#VALUE!</v>
      </c>
      <c r="E105" s="79" t="e">
        <f>INDEX(tblRisks[Severity],$B105)</f>
        <v>#VALUE!</v>
      </c>
      <c r="G105" s="90" t="e">
        <f t="shared" si="32"/>
        <v>#VALUE!</v>
      </c>
      <c r="H105" s="91" t="e">
        <f t="array" ref="H105">RANK(G105,$G$90:INDEX($G$90:$G$109,$G$87),0)</f>
        <v>#VALUE!</v>
      </c>
      <c r="K105" s="79" t="e">
        <f t="shared" si="33"/>
        <v>#N/A</v>
      </c>
      <c r="L105" s="79" t="e">
        <f>INDEX(tblRisks[Risk Description],$K105)</f>
        <v>#N/A</v>
      </c>
      <c r="M105" s="79" t="e">
        <f>INDEX(tblRisks[Mitigation Plan],$K105)</f>
        <v>#N/A</v>
      </c>
      <c r="N105" s="79" t="e">
        <f>INDEX(tblRisks[Severity],$K105)</f>
        <v>#N/A</v>
      </c>
    </row>
    <row r="106" spans="1:14" x14ac:dyDescent="0.3">
      <c r="A106" s="87">
        <v>17</v>
      </c>
      <c r="B106" s="79">
        <f t="array" ref="B106">LARGE((tblRisks[ID])*(tblRisks[In Project]=$C$53),$A106)</f>
        <v>0</v>
      </c>
      <c r="C106" s="79" t="e">
        <f>INDEX(tblRisks[Risk Description],$B106)</f>
        <v>#VALUE!</v>
      </c>
      <c r="D106" s="79" t="e">
        <f>INDEX(tblRisks[Mitigation Plan],$B106)</f>
        <v>#VALUE!</v>
      </c>
      <c r="E106" s="79" t="e">
        <f>INDEX(tblRisks[Severity],$B106)</f>
        <v>#VALUE!</v>
      </c>
      <c r="G106" s="90" t="e">
        <f t="shared" si="32"/>
        <v>#VALUE!</v>
      </c>
      <c r="H106" s="91" t="e">
        <f t="array" ref="H106">RANK(G106,$G$90:INDEX($G$90:$G$109,$G$87),0)</f>
        <v>#VALUE!</v>
      </c>
      <c r="K106" s="79" t="e">
        <f t="shared" si="33"/>
        <v>#N/A</v>
      </c>
      <c r="L106" s="79" t="e">
        <f>INDEX(tblRisks[Risk Description],$K106)</f>
        <v>#N/A</v>
      </c>
      <c r="M106" s="79" t="e">
        <f>INDEX(tblRisks[Mitigation Plan],$K106)</f>
        <v>#N/A</v>
      </c>
      <c r="N106" s="79" t="e">
        <f>INDEX(tblRisks[Severity],$K106)</f>
        <v>#N/A</v>
      </c>
    </row>
    <row r="107" spans="1:14" x14ac:dyDescent="0.3">
      <c r="A107" s="87">
        <v>18</v>
      </c>
      <c r="B107" s="79">
        <f t="array" ref="B107">LARGE((tblRisks[ID])*(tblRisks[In Project]=$C$53),$A107)</f>
        <v>0</v>
      </c>
      <c r="C107" s="79" t="e">
        <f>INDEX(tblRisks[Risk Description],$B107)</f>
        <v>#VALUE!</v>
      </c>
      <c r="D107" s="79" t="e">
        <f>INDEX(tblRisks[Mitigation Plan],$B107)</f>
        <v>#VALUE!</v>
      </c>
      <c r="E107" s="79" t="e">
        <f>INDEX(tblRisks[Severity],$B107)</f>
        <v>#VALUE!</v>
      </c>
      <c r="G107" s="90" t="e">
        <f t="shared" si="32"/>
        <v>#VALUE!</v>
      </c>
      <c r="H107" s="91" t="e">
        <f t="array" ref="H107">RANK(G107,$G$90:INDEX($G$90:$G$109,$G$87),0)</f>
        <v>#VALUE!</v>
      </c>
      <c r="K107" s="79" t="e">
        <f t="shared" si="33"/>
        <v>#N/A</v>
      </c>
      <c r="L107" s="79" t="e">
        <f>INDEX(tblRisks[Risk Description],$K107)</f>
        <v>#N/A</v>
      </c>
      <c r="M107" s="79" t="e">
        <f>INDEX(tblRisks[Mitigation Plan],$K107)</f>
        <v>#N/A</v>
      </c>
      <c r="N107" s="79" t="e">
        <f>INDEX(tblRisks[Severity],$K107)</f>
        <v>#N/A</v>
      </c>
    </row>
    <row r="108" spans="1:14" x14ac:dyDescent="0.3">
      <c r="A108" s="87">
        <v>19</v>
      </c>
      <c r="B108" s="79">
        <f t="array" ref="B108">LARGE((tblRisks[ID])*(tblRisks[In Project]=$C$53),$A108)</f>
        <v>0</v>
      </c>
      <c r="C108" s="79" t="e">
        <f>INDEX(tblRisks[Risk Description],$B108)</f>
        <v>#VALUE!</v>
      </c>
      <c r="D108" s="79" t="e">
        <f>INDEX(tblRisks[Mitigation Plan],$B108)</f>
        <v>#VALUE!</v>
      </c>
      <c r="E108" s="79" t="e">
        <f>INDEX(tblRisks[Severity],$B108)</f>
        <v>#VALUE!</v>
      </c>
      <c r="G108" s="90" t="e">
        <f t="shared" si="32"/>
        <v>#VALUE!</v>
      </c>
      <c r="H108" s="91" t="e">
        <f t="array" ref="H108">RANK(G108,$G$90:INDEX($G$90:$G$109,$G$87),0)</f>
        <v>#VALUE!</v>
      </c>
      <c r="K108" s="79" t="e">
        <f t="shared" si="33"/>
        <v>#N/A</v>
      </c>
      <c r="L108" s="79" t="e">
        <f>INDEX(tblRisks[Risk Description],$K108)</f>
        <v>#N/A</v>
      </c>
      <c r="M108" s="79" t="e">
        <f>INDEX(tblRisks[Mitigation Plan],$K108)</f>
        <v>#N/A</v>
      </c>
      <c r="N108" s="79" t="e">
        <f>INDEX(tblRisks[Severity],$K108)</f>
        <v>#N/A</v>
      </c>
    </row>
    <row r="109" spans="1:14" x14ac:dyDescent="0.3">
      <c r="A109" s="87">
        <v>20</v>
      </c>
      <c r="B109" s="79">
        <f t="array" ref="B109">LARGE((tblRisks[ID])*(tblRisks[In Project]=$C$53),$A109)</f>
        <v>0</v>
      </c>
      <c r="C109" s="79" t="e">
        <f>INDEX(tblRisks[Risk Description],$B109)</f>
        <v>#VALUE!</v>
      </c>
      <c r="D109" s="79" t="e">
        <f>INDEX(tblRisks[Mitigation Plan],$B109)</f>
        <v>#VALUE!</v>
      </c>
      <c r="E109" s="79" t="e">
        <f>INDEX(tblRisks[Severity],$B109)</f>
        <v>#VALUE!</v>
      </c>
      <c r="G109" s="90" t="e">
        <f t="shared" si="32"/>
        <v>#VALUE!</v>
      </c>
      <c r="H109" s="91" t="e">
        <f t="array" ref="H109">RANK(G109,$G$90:INDEX($G$90:$G$109,$G$87),0)</f>
        <v>#VALUE!</v>
      </c>
      <c r="K109" s="79" t="e">
        <f t="shared" si="33"/>
        <v>#N/A</v>
      </c>
      <c r="L109" s="79" t="e">
        <f>INDEX(tblRisks[Risk Description],$K109)</f>
        <v>#N/A</v>
      </c>
      <c r="M109" s="79" t="e">
        <f>INDEX(tblRisks[Mitigation Plan],$K109)</f>
        <v>#N/A</v>
      </c>
      <c r="N109" s="79" t="e">
        <f>INDEX(tblRisks[Severity],$K109)</f>
        <v>#N/A</v>
      </c>
    </row>
    <row r="111" spans="1:14" x14ac:dyDescent="0.3">
      <c r="B111" s="79">
        <v>25</v>
      </c>
      <c r="C111" s="181" t="s">
        <v>131</v>
      </c>
    </row>
    <row r="112" spans="1:14" x14ac:dyDescent="0.3">
      <c r="B112" s="79" t="s">
        <v>164</v>
      </c>
      <c r="C112" s="79" t="s">
        <v>72</v>
      </c>
    </row>
    <row r="113" spans="1:3" ht="17.25" x14ac:dyDescent="0.4">
      <c r="B113" s="86" t="str">
        <f>IFERROR(LEFT(L90,$B$111)&amp;REPT("…",LEN(L90)&gt;$B$111),"")</f>
        <v>Some complicated risk</v>
      </c>
      <c r="C113" s="94" t="str">
        <f>IFERROR(REPT($C$111,N90),"")</f>
        <v>~~~</v>
      </c>
    </row>
    <row r="114" spans="1:3" ht="17.25" x14ac:dyDescent="0.4">
      <c r="B114" s="86" t="str">
        <f t="shared" ref="B114:B117" si="34">IFERROR(LEFT(L91,$B$111)&amp;REPT("…",LEN(L91)&gt;$B$111),"")</f>
        <v>Some very unforeseen risk</v>
      </c>
      <c r="C114" s="94" t="str">
        <f t="shared" ref="C114:C117" si="35">IFERROR(REPT($C$111,N91),"")</f>
        <v>~</v>
      </c>
    </row>
    <row r="115" spans="1:3" ht="17.25" x14ac:dyDescent="0.4">
      <c r="B115" s="86" t="str">
        <f t="shared" si="34"/>
        <v/>
      </c>
      <c r="C115" s="94" t="str">
        <f t="shared" si="35"/>
        <v/>
      </c>
    </row>
    <row r="116" spans="1:3" ht="17.25" x14ac:dyDescent="0.4">
      <c r="B116" s="86" t="str">
        <f t="shared" si="34"/>
        <v/>
      </c>
      <c r="C116" s="94" t="str">
        <f t="shared" si="35"/>
        <v/>
      </c>
    </row>
    <row r="117" spans="1:3" ht="17.25" x14ac:dyDescent="0.4">
      <c r="B117" s="86" t="str">
        <f t="shared" si="34"/>
        <v/>
      </c>
      <c r="C117" s="94" t="str">
        <f t="shared" si="35"/>
        <v/>
      </c>
    </row>
    <row r="119" spans="1:3" ht="63.75" x14ac:dyDescent="0.3">
      <c r="B119" s="95" t="str">
        <f>B113&amp;CHAR(10)&amp;B114&amp;CHAR(10)&amp;B115&amp;CHAR(10)&amp;B116&amp;CHAR(10)&amp;B117</f>
        <v xml:space="preserve">Some complicated risk
Some very unforeseen risk
</v>
      </c>
      <c r="C119" s="95" t="str">
        <f>C113&amp;CHAR(10)&amp;C114&amp;CHAR(10)&amp;C115&amp;CHAR(10)&amp;C116&amp;CHAR(10)&amp;C117</f>
        <v xml:space="preserve">~~~
~
</v>
      </c>
    </row>
    <row r="122" spans="1:3" x14ac:dyDescent="0.3">
      <c r="A122" s="32" t="s">
        <v>168</v>
      </c>
    </row>
    <row r="123" spans="1:3" x14ac:dyDescent="0.3">
      <c r="B123" s="31" t="str">
        <f t="shared" ref="B123:C124" si="36">B52</f>
        <v>ID</v>
      </c>
      <c r="C123" s="62">
        <f t="shared" si="36"/>
        <v>1</v>
      </c>
    </row>
    <row r="124" spans="1:3" x14ac:dyDescent="0.3">
      <c r="B124" s="31" t="str">
        <f t="shared" si="36"/>
        <v>Name</v>
      </c>
      <c r="C124" s="31" t="str">
        <f t="shared" si="36"/>
        <v>ABC Integration</v>
      </c>
    </row>
    <row r="126" spans="1:3" x14ac:dyDescent="0.3">
      <c r="B126" s="79" t="s">
        <v>166</v>
      </c>
      <c r="C126" s="79">
        <f>COUNTA(INDEX(lstPlans,,1,$C$123))</f>
        <v>40</v>
      </c>
    </row>
    <row r="127" spans="1:3" x14ac:dyDescent="0.3">
      <c r="B127" s="79" t="s">
        <v>169</v>
      </c>
      <c r="C127" s="79">
        <f>COUNTIFS(INDEX(lstPlans,,4,$C$123),"100%")</f>
        <v>0</v>
      </c>
    </row>
    <row r="128" spans="1:3" x14ac:dyDescent="0.3">
      <c r="B128" s="79" t="s">
        <v>170</v>
      </c>
      <c r="C128" s="79">
        <f>COUNTIFS(INDEX(lstPlans,,4,$C$123),"&gt;0%")-C127</f>
        <v>22</v>
      </c>
    </row>
    <row r="129" spans="1:3" x14ac:dyDescent="0.3">
      <c r="B129" s="79" t="s">
        <v>171</v>
      </c>
      <c r="C129" s="79">
        <f>COUNTIFS(INDEX(lstPlans,,4,$C$123),"0%")</f>
        <v>18</v>
      </c>
    </row>
    <row r="131" spans="1:3" ht="51" x14ac:dyDescent="0.3">
      <c r="B131" s="95" t="str">
        <f>B126&amp;CHAR(10)&amp;B127&amp;CHAR(10)&amp;B128&amp;CHAR(10)&amp;B129</f>
        <v>Total
Completed
In Progress
Yet to start</v>
      </c>
      <c r="C131" s="95" t="str">
        <f>C126&amp;CHAR(10)&amp;C127&amp;CHAR(10)&amp;C128&amp;CHAR(10)&amp;C129</f>
        <v>40
0
22
18</v>
      </c>
    </row>
    <row r="133" spans="1:3" x14ac:dyDescent="0.3">
      <c r="A133" s="32" t="s">
        <v>173</v>
      </c>
    </row>
    <row r="134" spans="1:3" x14ac:dyDescent="0.3">
      <c r="B134" s="79" t="s">
        <v>59</v>
      </c>
      <c r="C134" s="90" t="str">
        <f>INDEX(tblProjects[Project Owner],$C$123)</f>
        <v>Adam Albert</v>
      </c>
    </row>
    <row r="135" spans="1:3" x14ac:dyDescent="0.3">
      <c r="B135" s="79" t="s">
        <v>68</v>
      </c>
      <c r="C135" s="90" t="str">
        <f>INDEX(tblProjects[Email],$C$123)</f>
        <v>alberta@project.com</v>
      </c>
    </row>
    <row r="136" spans="1:3" x14ac:dyDescent="0.3">
      <c r="B136" s="79" t="s">
        <v>69</v>
      </c>
      <c r="C136" s="90" t="str">
        <f>INDEX(tblProjects[Phone],$C$123)</f>
        <v>758-072-8357</v>
      </c>
    </row>
    <row r="137" spans="1:3" x14ac:dyDescent="0.3">
      <c r="B137" s="79" t="s">
        <v>120</v>
      </c>
      <c r="C137" s="90" t="str">
        <f>"Team size: "&amp;INDEX(tblProjects[Team Size],$C$123)</f>
        <v>Team size: 20</v>
      </c>
    </row>
    <row r="139" spans="1:3" x14ac:dyDescent="0.3">
      <c r="A139" s="32" t="s">
        <v>174</v>
      </c>
    </row>
    <row r="140" spans="1:3" x14ac:dyDescent="0.3">
      <c r="C140" s="90" t="str">
        <f>INDEX(tblProjects[Comments],$C$123)</f>
        <v>We need to focus on this project. It is going to be superb failure.</v>
      </c>
    </row>
    <row r="144" spans="1:3" x14ac:dyDescent="0.3">
      <c r="A144" s="32" t="s">
        <v>214</v>
      </c>
    </row>
    <row r="145" spans="1:5" x14ac:dyDescent="0.3">
      <c r="B145" s="79" t="s">
        <v>216</v>
      </c>
      <c r="C145" s="79">
        <f>MIN(tblProjects[Team Size])</f>
        <v>15</v>
      </c>
    </row>
    <row r="146" spans="1:5" x14ac:dyDescent="0.3">
      <c r="B146" s="79" t="s">
        <v>215</v>
      </c>
      <c r="C146" s="79">
        <f>MAX(tblProjects[Team Size])</f>
        <v>35</v>
      </c>
    </row>
    <row r="147" spans="1:5" x14ac:dyDescent="0.3">
      <c r="B147" s="79" t="s">
        <v>218</v>
      </c>
      <c r="C147" s="79">
        <f>C146-C145</f>
        <v>20</v>
      </c>
    </row>
    <row r="149" spans="1:5" x14ac:dyDescent="0.3">
      <c r="B149" s="91" t="s">
        <v>217</v>
      </c>
      <c r="C149" s="91" t="s">
        <v>147</v>
      </c>
      <c r="D149" s="91" t="s">
        <v>175</v>
      </c>
      <c r="E149" s="91" t="s">
        <v>197</v>
      </c>
    </row>
    <row r="150" spans="1:5" x14ac:dyDescent="0.3">
      <c r="B150" s="91">
        <v>1</v>
      </c>
      <c r="C150" s="91">
        <f>$C$145</f>
        <v>15</v>
      </c>
      <c r="D150" s="91" t="str">
        <f>"&lt;="&amp;C150</f>
        <v>&lt;=15</v>
      </c>
      <c r="E150" s="79">
        <f>COUNTIF(tblProjects[Team Size],"&lt;="&amp;C150)</f>
        <v>1</v>
      </c>
    </row>
    <row r="151" spans="1:5" x14ac:dyDescent="0.3">
      <c r="B151" s="91">
        <v>2</v>
      </c>
      <c r="C151" s="91">
        <f>C150+$C$147/5</f>
        <v>19</v>
      </c>
      <c r="D151" s="91">
        <f>C151</f>
        <v>19</v>
      </c>
      <c r="E151" s="79">
        <f>COUNTIF(tblProjects[Team Size],"&lt;="&amp;C151)-SUM($E$150:E150)</f>
        <v>0</v>
      </c>
    </row>
    <row r="152" spans="1:5" x14ac:dyDescent="0.3">
      <c r="B152" s="91">
        <v>3</v>
      </c>
      <c r="C152" s="91">
        <f t="shared" ref="C152:C155" si="37">C151+$C$147/5</f>
        <v>23</v>
      </c>
      <c r="D152" s="91">
        <f t="shared" ref="D152:D154" si="38">C152</f>
        <v>23</v>
      </c>
      <c r="E152" s="79">
        <f>COUNTIF(tblProjects[Team Size],"&lt;="&amp;C152)-SUM($E$150:E151)</f>
        <v>2</v>
      </c>
    </row>
    <row r="153" spans="1:5" x14ac:dyDescent="0.3">
      <c r="B153" s="91">
        <v>4</v>
      </c>
      <c r="C153" s="91">
        <f t="shared" si="37"/>
        <v>27</v>
      </c>
      <c r="D153" s="91">
        <f t="shared" si="38"/>
        <v>27</v>
      </c>
      <c r="E153" s="79">
        <f>COUNTIF(tblProjects[Team Size],"&lt;="&amp;C153)-SUM($E$150:E152)</f>
        <v>0</v>
      </c>
    </row>
    <row r="154" spans="1:5" x14ac:dyDescent="0.3">
      <c r="B154" s="91">
        <v>5</v>
      </c>
      <c r="C154" s="91">
        <f t="shared" si="37"/>
        <v>31</v>
      </c>
      <c r="D154" s="91">
        <f t="shared" si="38"/>
        <v>31</v>
      </c>
      <c r="E154" s="79">
        <f>COUNTIF(tblProjects[Team Size],"&lt;="&amp;C154)-SUM($E$150:E153)</f>
        <v>1</v>
      </c>
    </row>
    <row r="155" spans="1:5" x14ac:dyDescent="0.3">
      <c r="B155" s="91">
        <v>6</v>
      </c>
      <c r="C155" s="91">
        <f t="shared" si="37"/>
        <v>35</v>
      </c>
      <c r="D155" s="91">
        <f>C155</f>
        <v>35</v>
      </c>
      <c r="E155" s="79">
        <f>COUNTIF(tblProjects[Team Size],"&lt;="&amp;C155)-SUM($E$150:E154)</f>
        <v>4</v>
      </c>
    </row>
    <row r="157" spans="1:5" x14ac:dyDescent="0.3">
      <c r="A157" s="32" t="s">
        <v>235</v>
      </c>
    </row>
    <row r="158" spans="1:5" x14ac:dyDescent="0.3">
      <c r="B158" s="79" t="str">
        <f ca="1">"Prepared by "&amp;Settings!$I$5&amp;" on "&amp;TEXT(Settings!$I$7,"d, mmm yyyy")</f>
        <v>Prepared by XYZ on 31, Aug 2021</v>
      </c>
    </row>
    <row r="159" spans="1:5" x14ac:dyDescent="0.3">
      <c r="B159" s="182" t="str">
        <f>HYPERLINK("mailto:"&amp;Settings!$I$6,"@")</f>
        <v>@</v>
      </c>
    </row>
    <row r="161" spans="1:2" x14ac:dyDescent="0.3">
      <c r="A161" s="32" t="s">
        <v>237</v>
      </c>
    </row>
    <row r="162" spans="1:2" x14ac:dyDescent="0.3">
      <c r="B162" s="79" t="str">
        <f ca="1">CELL("address",Dashboard!A1)</f>
        <v>'[project-portfolio-dashboard-VBA-v1-2021.xlsm]Dashboard'!$A$1</v>
      </c>
    </row>
    <row r="163" spans="1:2" x14ac:dyDescent="0.3">
      <c r="B163" s="79" t="str">
        <f ca="1">MID(B162,FIND("]",B162)+1,999)</f>
        <v>Dashboard'!$A$1</v>
      </c>
    </row>
    <row r="164" spans="1:2" x14ac:dyDescent="0.3">
      <c r="B164" s="79" t="str">
        <f ca="1">LEFT(B163,FIND("'",B163)-1)</f>
        <v>Dashboard</v>
      </c>
    </row>
  </sheetData>
  <mergeCells count="2">
    <mergeCell ref="AI2:AI5"/>
    <mergeCell ref="AJ2:AJ5"/>
  </mergeCells>
  <hyperlinks>
    <hyperlink ref="L27" location="'Gantt View'!A1" display="Plan&gt;" xr:uid="{00000000-0004-0000-0700-000000000000}"/>
  </hyperlink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00000000-0003-0000-0700-000001000000}">
          <x14:colorSeries theme="4" tint="0.5999938962981048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rgb="FF002060"/>
          <x14:colorLow theme="4"/>
          <x14:sparklines>
            <x14:sparkline>
              <xm:f>Calculations!V4:Z4</xm:f>
              <xm:sqref>AB4</xm:sqref>
            </x14:sparkline>
          </x14:sparklines>
        </x14:sparklineGroup>
        <x14:sparklineGroup type="column" displayEmptyCellsAs="gap" high="1" xr2:uid="{00000000-0003-0000-0700-000000000000}">
          <x14:colorSeries theme="5" tint="0.5999938962981048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rgb="FFC00000"/>
          <x14:colorLow theme="4"/>
          <x14:sparklines>
            <x14:sparkline>
              <xm:f>Calculations!V3:Z3</xm:f>
              <xm:sqref>AB3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 tint="-0.249977111117893"/>
  </sheetPr>
  <dimension ref="B1:FV29"/>
  <sheetViews>
    <sheetView showGridLines="0" workbookViewId="0">
      <selection activeCell="U4" sqref="U4"/>
    </sheetView>
  </sheetViews>
  <sheetFormatPr defaultRowHeight="15.75" x14ac:dyDescent="0.3"/>
  <cols>
    <col min="1" max="1" width="2.44140625" customWidth="1"/>
    <col min="2" max="2" width="11.109375" customWidth="1"/>
    <col min="3" max="3" width="8.109375" customWidth="1"/>
    <col min="4" max="4" width="6.88671875" customWidth="1"/>
    <col min="5" max="5" width="8.33203125" customWidth="1"/>
    <col min="6" max="7" width="8.6640625" hidden="1" customWidth="1"/>
    <col min="8" max="97" width="1" customWidth="1"/>
    <col min="102" max="102" width="11.109375" customWidth="1"/>
    <col min="103" max="103" width="8.109375" customWidth="1"/>
    <col min="104" max="104" width="6.88671875" customWidth="1"/>
    <col min="105" max="105" width="8.33203125" customWidth="1"/>
    <col min="106" max="107" width="8.6640625" hidden="1" customWidth="1"/>
    <col min="108" max="135" width="2.6640625" customWidth="1"/>
    <col min="136" max="136" width="2.33203125" customWidth="1"/>
    <col min="137" max="137" width="2.6640625" customWidth="1"/>
    <col min="143" max="143" width="11.109375" customWidth="1"/>
    <col min="144" max="144" width="8.109375" customWidth="1"/>
    <col min="145" max="145" width="6.88671875" customWidth="1"/>
    <col min="146" max="146" width="8.33203125" customWidth="1"/>
    <col min="147" max="148" width="8.6640625" hidden="1" customWidth="1"/>
    <col min="149" max="178" width="2.6640625" customWidth="1"/>
    <col min="180" max="209" width="4.44140625" customWidth="1"/>
  </cols>
  <sheetData>
    <row r="1" spans="2:178" s="175" customFormat="1" ht="41.25" customHeight="1" x14ac:dyDescent="0.3">
      <c r="B1" s="187" t="s">
        <v>247</v>
      </c>
    </row>
    <row r="2" spans="2:178" x14ac:dyDescent="0.3">
      <c r="B2" s="79" t="s">
        <v>49</v>
      </c>
      <c r="C2" s="79" t="str">
        <f>Calculations!C23</f>
        <v>ABC Integration</v>
      </c>
    </row>
    <row r="3" spans="2:178" x14ac:dyDescent="0.3">
      <c r="B3" s="79" t="s">
        <v>200</v>
      </c>
      <c r="C3" s="79">
        <f>Calculations!C22</f>
        <v>1</v>
      </c>
    </row>
    <row r="4" spans="2:178" x14ac:dyDescent="0.3">
      <c r="B4" s="79" t="s">
        <v>201</v>
      </c>
      <c r="C4" s="79" t="str">
        <f>Calculations!C24</f>
        <v>plan1</v>
      </c>
    </row>
    <row r="5" spans="2:178" x14ac:dyDescent="0.3">
      <c r="G5" t="s">
        <v>207</v>
      </c>
      <c r="H5">
        <f>valGanttStart</f>
        <v>40777</v>
      </c>
      <c r="I5">
        <f>WORKDAY(H5,1)</f>
        <v>40778</v>
      </c>
      <c r="J5">
        <f t="shared" ref="J5:BU5" si="0">WORKDAY(I5,1)</f>
        <v>40779</v>
      </c>
      <c r="K5">
        <f t="shared" si="0"/>
        <v>40780</v>
      </c>
      <c r="L5">
        <f t="shared" si="0"/>
        <v>40781</v>
      </c>
      <c r="M5">
        <f t="shared" si="0"/>
        <v>40784</v>
      </c>
      <c r="N5">
        <f t="shared" si="0"/>
        <v>40785</v>
      </c>
      <c r="O5">
        <f t="shared" si="0"/>
        <v>40786</v>
      </c>
      <c r="P5">
        <f t="shared" si="0"/>
        <v>40787</v>
      </c>
      <c r="Q5">
        <f t="shared" si="0"/>
        <v>40788</v>
      </c>
      <c r="R5">
        <f t="shared" si="0"/>
        <v>40791</v>
      </c>
      <c r="S5">
        <f t="shared" si="0"/>
        <v>40792</v>
      </c>
      <c r="T5">
        <f t="shared" si="0"/>
        <v>40793</v>
      </c>
      <c r="U5">
        <f t="shared" si="0"/>
        <v>40794</v>
      </c>
      <c r="V5">
        <f t="shared" si="0"/>
        <v>40795</v>
      </c>
      <c r="W5">
        <f t="shared" si="0"/>
        <v>40798</v>
      </c>
      <c r="X5">
        <f t="shared" si="0"/>
        <v>40799</v>
      </c>
      <c r="Y5">
        <f t="shared" si="0"/>
        <v>40800</v>
      </c>
      <c r="Z5">
        <f t="shared" si="0"/>
        <v>40801</v>
      </c>
      <c r="AA5">
        <f t="shared" si="0"/>
        <v>40802</v>
      </c>
      <c r="AB5">
        <f t="shared" si="0"/>
        <v>40805</v>
      </c>
      <c r="AC5">
        <f t="shared" si="0"/>
        <v>40806</v>
      </c>
      <c r="AD5">
        <f t="shared" si="0"/>
        <v>40807</v>
      </c>
      <c r="AE5">
        <f t="shared" si="0"/>
        <v>40808</v>
      </c>
      <c r="AF5">
        <f t="shared" si="0"/>
        <v>40809</v>
      </c>
      <c r="AG5">
        <f t="shared" si="0"/>
        <v>40812</v>
      </c>
      <c r="AH5">
        <f t="shared" si="0"/>
        <v>40813</v>
      </c>
      <c r="AI5">
        <f t="shared" si="0"/>
        <v>40814</v>
      </c>
      <c r="AJ5">
        <f t="shared" si="0"/>
        <v>40815</v>
      </c>
      <c r="AK5">
        <f t="shared" si="0"/>
        <v>40816</v>
      </c>
      <c r="AL5">
        <f t="shared" si="0"/>
        <v>40819</v>
      </c>
      <c r="AM5">
        <f t="shared" si="0"/>
        <v>40820</v>
      </c>
      <c r="AN5">
        <f t="shared" si="0"/>
        <v>40821</v>
      </c>
      <c r="AO5">
        <f t="shared" si="0"/>
        <v>40822</v>
      </c>
      <c r="AP5">
        <f t="shared" si="0"/>
        <v>40823</v>
      </c>
      <c r="AQ5">
        <f t="shared" si="0"/>
        <v>40826</v>
      </c>
      <c r="AR5">
        <f t="shared" si="0"/>
        <v>40827</v>
      </c>
      <c r="AS5">
        <f t="shared" si="0"/>
        <v>40828</v>
      </c>
      <c r="AT5">
        <f t="shared" si="0"/>
        <v>40829</v>
      </c>
      <c r="AU5">
        <f t="shared" si="0"/>
        <v>40830</v>
      </c>
      <c r="AV5">
        <f t="shared" si="0"/>
        <v>40833</v>
      </c>
      <c r="AW5">
        <f t="shared" si="0"/>
        <v>40834</v>
      </c>
      <c r="AX5">
        <f t="shared" si="0"/>
        <v>40835</v>
      </c>
      <c r="AY5">
        <f t="shared" si="0"/>
        <v>40836</v>
      </c>
      <c r="AZ5">
        <f t="shared" si="0"/>
        <v>40837</v>
      </c>
      <c r="BA5">
        <f t="shared" si="0"/>
        <v>40840</v>
      </c>
      <c r="BB5">
        <f t="shared" si="0"/>
        <v>40841</v>
      </c>
      <c r="BC5">
        <f t="shared" si="0"/>
        <v>40842</v>
      </c>
      <c r="BD5">
        <f t="shared" si="0"/>
        <v>40843</v>
      </c>
      <c r="BE5">
        <f t="shared" si="0"/>
        <v>40844</v>
      </c>
      <c r="BF5">
        <f t="shared" si="0"/>
        <v>40847</v>
      </c>
      <c r="BG5">
        <f t="shared" si="0"/>
        <v>40848</v>
      </c>
      <c r="BH5">
        <f t="shared" si="0"/>
        <v>40849</v>
      </c>
      <c r="BI5">
        <f t="shared" si="0"/>
        <v>40850</v>
      </c>
      <c r="BJ5">
        <f t="shared" si="0"/>
        <v>40851</v>
      </c>
      <c r="BK5">
        <f t="shared" si="0"/>
        <v>40854</v>
      </c>
      <c r="BL5">
        <f t="shared" si="0"/>
        <v>40855</v>
      </c>
      <c r="BM5">
        <f t="shared" si="0"/>
        <v>40856</v>
      </c>
      <c r="BN5">
        <f t="shared" si="0"/>
        <v>40857</v>
      </c>
      <c r="BO5">
        <f t="shared" si="0"/>
        <v>40858</v>
      </c>
      <c r="BP5">
        <f t="shared" si="0"/>
        <v>40861</v>
      </c>
      <c r="BQ5">
        <f t="shared" si="0"/>
        <v>40862</v>
      </c>
      <c r="BR5">
        <f t="shared" si="0"/>
        <v>40863</v>
      </c>
      <c r="BS5">
        <f t="shared" si="0"/>
        <v>40864</v>
      </c>
      <c r="BT5">
        <f t="shared" si="0"/>
        <v>40865</v>
      </c>
      <c r="BU5">
        <f t="shared" si="0"/>
        <v>40868</v>
      </c>
      <c r="BV5">
        <f t="shared" ref="BV5:CR5" si="1">WORKDAY(BU5,1)</f>
        <v>40869</v>
      </c>
      <c r="BW5">
        <f t="shared" si="1"/>
        <v>40870</v>
      </c>
      <c r="BX5">
        <f t="shared" si="1"/>
        <v>40871</v>
      </c>
      <c r="BY5">
        <f t="shared" si="1"/>
        <v>40872</v>
      </c>
      <c r="BZ5">
        <f t="shared" si="1"/>
        <v>40875</v>
      </c>
      <c r="CA5">
        <f t="shared" si="1"/>
        <v>40876</v>
      </c>
      <c r="CB5">
        <f t="shared" si="1"/>
        <v>40877</v>
      </c>
      <c r="CC5">
        <f t="shared" si="1"/>
        <v>40878</v>
      </c>
      <c r="CD5">
        <f t="shared" si="1"/>
        <v>40879</v>
      </c>
      <c r="CE5">
        <f t="shared" si="1"/>
        <v>40882</v>
      </c>
      <c r="CF5">
        <f t="shared" si="1"/>
        <v>40883</v>
      </c>
      <c r="CG5">
        <f t="shared" si="1"/>
        <v>40884</v>
      </c>
      <c r="CH5">
        <f t="shared" si="1"/>
        <v>40885</v>
      </c>
      <c r="CI5">
        <f t="shared" si="1"/>
        <v>40886</v>
      </c>
      <c r="CJ5">
        <f t="shared" si="1"/>
        <v>40889</v>
      </c>
      <c r="CK5">
        <f t="shared" si="1"/>
        <v>40890</v>
      </c>
      <c r="CL5">
        <f t="shared" si="1"/>
        <v>40891</v>
      </c>
      <c r="CM5">
        <f t="shared" si="1"/>
        <v>40892</v>
      </c>
      <c r="CN5">
        <f t="shared" si="1"/>
        <v>40893</v>
      </c>
      <c r="CO5">
        <f t="shared" si="1"/>
        <v>40896</v>
      </c>
      <c r="CP5">
        <f t="shared" si="1"/>
        <v>40897</v>
      </c>
      <c r="CQ5">
        <f t="shared" si="1"/>
        <v>40898</v>
      </c>
      <c r="CR5">
        <f t="shared" si="1"/>
        <v>40899</v>
      </c>
      <c r="CS5">
        <f>WORKDAY(CR5,1)</f>
        <v>40900</v>
      </c>
      <c r="CT5" s="12">
        <f>WORKDAY(CS5,1)</f>
        <v>40903</v>
      </c>
      <c r="DD5" s="111">
        <f>valGanttStart</f>
        <v>40777</v>
      </c>
      <c r="DE5" s="111">
        <f>DD5+7</f>
        <v>40784</v>
      </c>
      <c r="DF5" s="111">
        <f t="shared" ref="DF5:EH5" si="2">DE5+7</f>
        <v>40791</v>
      </c>
      <c r="DG5" s="111">
        <f t="shared" si="2"/>
        <v>40798</v>
      </c>
      <c r="DH5" s="111">
        <f t="shared" si="2"/>
        <v>40805</v>
      </c>
      <c r="DI5" s="111">
        <f t="shared" si="2"/>
        <v>40812</v>
      </c>
      <c r="DJ5" s="111">
        <f t="shared" si="2"/>
        <v>40819</v>
      </c>
      <c r="DK5" s="111">
        <f t="shared" si="2"/>
        <v>40826</v>
      </c>
      <c r="DL5" s="111">
        <f t="shared" si="2"/>
        <v>40833</v>
      </c>
      <c r="DM5" s="111">
        <f t="shared" si="2"/>
        <v>40840</v>
      </c>
      <c r="DN5" s="111">
        <f t="shared" si="2"/>
        <v>40847</v>
      </c>
      <c r="DO5" s="111">
        <f t="shared" si="2"/>
        <v>40854</v>
      </c>
      <c r="DP5" s="111">
        <f t="shared" si="2"/>
        <v>40861</v>
      </c>
      <c r="DQ5" s="111">
        <f t="shared" si="2"/>
        <v>40868</v>
      </c>
      <c r="DR5" s="111">
        <f t="shared" si="2"/>
        <v>40875</v>
      </c>
      <c r="DS5" s="111">
        <f t="shared" si="2"/>
        <v>40882</v>
      </c>
      <c r="DT5" s="111">
        <f t="shared" si="2"/>
        <v>40889</v>
      </c>
      <c r="DU5" s="111">
        <f t="shared" si="2"/>
        <v>40896</v>
      </c>
      <c r="DV5" s="111">
        <f t="shared" si="2"/>
        <v>40903</v>
      </c>
      <c r="DW5" s="111">
        <f t="shared" si="2"/>
        <v>40910</v>
      </c>
      <c r="DX5" s="111">
        <f t="shared" si="2"/>
        <v>40917</v>
      </c>
      <c r="DY5" s="111">
        <f t="shared" si="2"/>
        <v>40924</v>
      </c>
      <c r="DZ5" s="111">
        <f t="shared" si="2"/>
        <v>40931</v>
      </c>
      <c r="EA5" s="111">
        <f t="shared" si="2"/>
        <v>40938</v>
      </c>
      <c r="EB5" s="111">
        <f t="shared" si="2"/>
        <v>40945</v>
      </c>
      <c r="EC5" s="111">
        <f t="shared" si="2"/>
        <v>40952</v>
      </c>
      <c r="ED5" s="111">
        <f t="shared" si="2"/>
        <v>40959</v>
      </c>
      <c r="EE5" s="111">
        <f t="shared" si="2"/>
        <v>40966</v>
      </c>
      <c r="EF5" s="111">
        <f t="shared" si="2"/>
        <v>40973</v>
      </c>
      <c r="EG5" s="111">
        <f t="shared" si="2"/>
        <v>40980</v>
      </c>
      <c r="EH5" s="111">
        <f t="shared" si="2"/>
        <v>40987</v>
      </c>
      <c r="ES5" s="1">
        <f>DATE(YEAR(valGanttStart),MONTH(valGanttStart),1)</f>
        <v>40756</v>
      </c>
      <c r="ET5">
        <f>EDATE(ES5,1)</f>
        <v>40787</v>
      </c>
      <c r="EU5">
        <f t="shared" ref="EU5:FV5" si="3">EDATE(ET5,1)</f>
        <v>40817</v>
      </c>
      <c r="EV5">
        <f t="shared" si="3"/>
        <v>40848</v>
      </c>
      <c r="EW5">
        <f t="shared" si="3"/>
        <v>40878</v>
      </c>
      <c r="EX5">
        <f t="shared" si="3"/>
        <v>40909</v>
      </c>
      <c r="EY5">
        <f t="shared" si="3"/>
        <v>40940</v>
      </c>
      <c r="EZ5">
        <f t="shared" si="3"/>
        <v>40969</v>
      </c>
      <c r="FA5">
        <f t="shared" si="3"/>
        <v>41000</v>
      </c>
      <c r="FB5">
        <f t="shared" si="3"/>
        <v>41030</v>
      </c>
      <c r="FC5">
        <f t="shared" si="3"/>
        <v>41061</v>
      </c>
      <c r="FD5">
        <f t="shared" si="3"/>
        <v>41091</v>
      </c>
      <c r="FE5">
        <f t="shared" si="3"/>
        <v>41122</v>
      </c>
      <c r="FF5">
        <f t="shared" si="3"/>
        <v>41153</v>
      </c>
      <c r="FG5">
        <f t="shared" si="3"/>
        <v>41183</v>
      </c>
      <c r="FH5">
        <f t="shared" si="3"/>
        <v>41214</v>
      </c>
      <c r="FI5">
        <f t="shared" si="3"/>
        <v>41244</v>
      </c>
      <c r="FJ5">
        <f t="shared" si="3"/>
        <v>41275</v>
      </c>
      <c r="FK5">
        <f t="shared" si="3"/>
        <v>41306</v>
      </c>
      <c r="FL5">
        <f t="shared" si="3"/>
        <v>41334</v>
      </c>
      <c r="FM5">
        <f t="shared" si="3"/>
        <v>41365</v>
      </c>
      <c r="FN5">
        <f t="shared" si="3"/>
        <v>41395</v>
      </c>
      <c r="FO5">
        <f t="shared" si="3"/>
        <v>41426</v>
      </c>
      <c r="FP5">
        <f t="shared" si="3"/>
        <v>41456</v>
      </c>
      <c r="FQ5">
        <f t="shared" si="3"/>
        <v>41487</v>
      </c>
      <c r="FR5">
        <f t="shared" si="3"/>
        <v>41518</v>
      </c>
      <c r="FS5">
        <f t="shared" si="3"/>
        <v>41548</v>
      </c>
      <c r="FT5">
        <f t="shared" si="3"/>
        <v>41579</v>
      </c>
      <c r="FU5">
        <f t="shared" si="3"/>
        <v>41609</v>
      </c>
      <c r="FV5">
        <f t="shared" si="3"/>
        <v>41640</v>
      </c>
    </row>
    <row r="6" spans="2:178" x14ac:dyDescent="0.3">
      <c r="B6" s="161" t="s">
        <v>202</v>
      </c>
      <c r="C6" s="161">
        <v>2</v>
      </c>
      <c r="D6" s="138" t="s">
        <v>203</v>
      </c>
      <c r="E6" s="138" t="str">
        <f>INDEX(lstGanttViews,valGanttType)&amp;" view"</f>
        <v>Weekly view</v>
      </c>
      <c r="F6" s="138"/>
      <c r="G6" s="138">
        <f>C6</f>
        <v>2</v>
      </c>
      <c r="CT6" s="14"/>
    </row>
    <row r="7" spans="2:178" x14ac:dyDescent="0.3">
      <c r="B7" s="138" t="s">
        <v>208</v>
      </c>
      <c r="C7" s="138"/>
      <c r="D7" s="138"/>
      <c r="E7" s="138"/>
      <c r="F7" s="138"/>
      <c r="G7" s="138"/>
      <c r="CT7" s="14"/>
    </row>
    <row r="8" spans="2:178" x14ac:dyDescent="0.3">
      <c r="CT8" s="14"/>
    </row>
    <row r="9" spans="2:178" x14ac:dyDescent="0.3">
      <c r="H9" s="203">
        <f>IFERROR(H5,"")</f>
        <v>40777</v>
      </c>
      <c r="I9" s="204">
        <f t="shared" ref="I9:BT9" si="4">I10</f>
        <v>0</v>
      </c>
      <c r="J9" s="204">
        <f t="shared" si="4"/>
        <v>0</v>
      </c>
      <c r="K9" s="204">
        <f t="shared" si="4"/>
        <v>0</v>
      </c>
      <c r="L9" s="204">
        <f t="shared" si="4"/>
        <v>0</v>
      </c>
      <c r="M9" s="197" t="str">
        <f>IFERROR(IF(MONTH(M5)&lt;&gt;MONTH(H5),M5,""),"")</f>
        <v/>
      </c>
      <c r="N9" s="197">
        <f t="shared" si="4"/>
        <v>0</v>
      </c>
      <c r="O9" s="197">
        <f t="shared" si="4"/>
        <v>0</v>
      </c>
      <c r="P9" s="197">
        <f t="shared" si="4"/>
        <v>0</v>
      </c>
      <c r="Q9" s="197">
        <f t="shared" si="4"/>
        <v>0</v>
      </c>
      <c r="R9" s="197">
        <f t="shared" ref="R9" si="5">IFERROR(IF(MONTH(R5)&lt;&gt;MONTH(M5),R5,""),"")</f>
        <v>40791</v>
      </c>
      <c r="S9" s="197">
        <f t="shared" si="4"/>
        <v>0</v>
      </c>
      <c r="T9" s="197">
        <f t="shared" si="4"/>
        <v>0</v>
      </c>
      <c r="U9" s="197">
        <f t="shared" si="4"/>
        <v>0</v>
      </c>
      <c r="V9" s="197">
        <f t="shared" si="4"/>
        <v>0</v>
      </c>
      <c r="W9" s="197" t="str">
        <f t="shared" ref="W9" si="6">IFERROR(IF(MONTH(W5)&lt;&gt;MONTH(R5),W5,""),"")</f>
        <v/>
      </c>
      <c r="X9" s="197">
        <f t="shared" si="4"/>
        <v>0</v>
      </c>
      <c r="Y9" s="197">
        <f t="shared" si="4"/>
        <v>0</v>
      </c>
      <c r="Z9" s="197">
        <f t="shared" si="4"/>
        <v>0</v>
      </c>
      <c r="AA9" s="197">
        <f t="shared" si="4"/>
        <v>0</v>
      </c>
      <c r="AB9" s="197" t="str">
        <f t="shared" ref="AB9" si="7">IFERROR(IF(MONTH(AB5)&lt;&gt;MONTH(W5),AB5,""),"")</f>
        <v/>
      </c>
      <c r="AC9" s="197">
        <f t="shared" si="4"/>
        <v>0</v>
      </c>
      <c r="AD9" s="197">
        <f t="shared" si="4"/>
        <v>0</v>
      </c>
      <c r="AE9" s="197">
        <f t="shared" si="4"/>
        <v>0</v>
      </c>
      <c r="AF9" s="197">
        <f t="shared" si="4"/>
        <v>0</v>
      </c>
      <c r="AG9" s="197" t="str">
        <f t="shared" ref="AG9" si="8">IFERROR(IF(MONTH(AG5)&lt;&gt;MONTH(AB5),AG5,""),"")</f>
        <v/>
      </c>
      <c r="AH9" s="197">
        <f t="shared" si="4"/>
        <v>0</v>
      </c>
      <c r="AI9" s="197">
        <f t="shared" si="4"/>
        <v>0</v>
      </c>
      <c r="AJ9" s="197">
        <f t="shared" si="4"/>
        <v>0</v>
      </c>
      <c r="AK9" s="197">
        <f t="shared" si="4"/>
        <v>0</v>
      </c>
      <c r="AL9" s="197">
        <f t="shared" ref="AL9" si="9">IFERROR(IF(MONTH(AL5)&lt;&gt;MONTH(AG5),AL5,""),"")</f>
        <v>40819</v>
      </c>
      <c r="AM9" s="197">
        <f t="shared" si="4"/>
        <v>0</v>
      </c>
      <c r="AN9" s="197">
        <f t="shared" si="4"/>
        <v>0</v>
      </c>
      <c r="AO9" s="197">
        <f t="shared" si="4"/>
        <v>0</v>
      </c>
      <c r="AP9" s="197">
        <f t="shared" si="4"/>
        <v>0</v>
      </c>
      <c r="AQ9" s="197" t="str">
        <f t="shared" ref="AQ9" si="10">IFERROR(IF(MONTH(AQ5)&lt;&gt;MONTH(AL5),AQ5,""),"")</f>
        <v/>
      </c>
      <c r="AR9" s="197">
        <f t="shared" si="4"/>
        <v>0</v>
      </c>
      <c r="AS9" s="197">
        <f t="shared" si="4"/>
        <v>0</v>
      </c>
      <c r="AT9" s="197">
        <f t="shared" si="4"/>
        <v>0</v>
      </c>
      <c r="AU9" s="197">
        <f t="shared" si="4"/>
        <v>0</v>
      </c>
      <c r="AV9" s="197" t="str">
        <f t="shared" ref="AV9" si="11">IFERROR(IF(MONTH(AV5)&lt;&gt;MONTH(AQ5),AV5,""),"")</f>
        <v/>
      </c>
      <c r="AW9" s="197">
        <f t="shared" si="4"/>
        <v>0</v>
      </c>
      <c r="AX9" s="197">
        <f t="shared" si="4"/>
        <v>0</v>
      </c>
      <c r="AY9" s="197">
        <f t="shared" si="4"/>
        <v>0</v>
      </c>
      <c r="AZ9" s="197">
        <f t="shared" si="4"/>
        <v>0</v>
      </c>
      <c r="BA9" s="197" t="str">
        <f t="shared" ref="BA9" si="12">IFERROR(IF(MONTH(BA5)&lt;&gt;MONTH(AV5),BA5,""),"")</f>
        <v/>
      </c>
      <c r="BB9" s="197">
        <f t="shared" si="4"/>
        <v>0</v>
      </c>
      <c r="BC9" s="197">
        <f t="shared" si="4"/>
        <v>0</v>
      </c>
      <c r="BD9" s="197">
        <f t="shared" si="4"/>
        <v>0</v>
      </c>
      <c r="BE9" s="197">
        <f t="shared" si="4"/>
        <v>0</v>
      </c>
      <c r="BF9" s="197" t="str">
        <f t="shared" ref="BF9" si="13">IFERROR(IF(MONTH(BF5)&lt;&gt;MONTH(BA5),BF5,""),"")</f>
        <v/>
      </c>
      <c r="BG9" s="197">
        <f t="shared" si="4"/>
        <v>0</v>
      </c>
      <c r="BH9" s="197">
        <f t="shared" si="4"/>
        <v>0</v>
      </c>
      <c r="BI9" s="197">
        <f t="shared" si="4"/>
        <v>0</v>
      </c>
      <c r="BJ9" s="197">
        <f t="shared" si="4"/>
        <v>0</v>
      </c>
      <c r="BK9" s="197">
        <f t="shared" ref="BK9" si="14">IFERROR(IF(MONTH(BK5)&lt;&gt;MONTH(BF5),BK5,""),"")</f>
        <v>40854</v>
      </c>
      <c r="BL9" s="197">
        <f t="shared" si="4"/>
        <v>0</v>
      </c>
      <c r="BM9" s="197">
        <f t="shared" si="4"/>
        <v>0</v>
      </c>
      <c r="BN9" s="197">
        <f t="shared" si="4"/>
        <v>0</v>
      </c>
      <c r="BO9" s="197">
        <f t="shared" si="4"/>
        <v>0</v>
      </c>
      <c r="BP9" s="197" t="str">
        <f t="shared" ref="BP9" si="15">IFERROR(IF(MONTH(BP5)&lt;&gt;MONTH(BK5),BP5,""),"")</f>
        <v/>
      </c>
      <c r="BQ9" s="197">
        <f t="shared" si="4"/>
        <v>0</v>
      </c>
      <c r="BR9" s="197">
        <f t="shared" si="4"/>
        <v>0</v>
      </c>
      <c r="BS9" s="197">
        <f t="shared" si="4"/>
        <v>0</v>
      </c>
      <c r="BT9" s="197">
        <f t="shared" si="4"/>
        <v>0</v>
      </c>
      <c r="BU9" s="197" t="str">
        <f t="shared" ref="BU9" si="16">IFERROR(IF(MONTH(BU5)&lt;&gt;MONTH(BP5),BU5,""),"")</f>
        <v/>
      </c>
      <c r="BV9" s="197">
        <f t="shared" ref="BV9:CS9" si="17">BV10</f>
        <v>0</v>
      </c>
      <c r="BW9" s="197">
        <f t="shared" si="17"/>
        <v>0</v>
      </c>
      <c r="BX9" s="197">
        <f t="shared" si="17"/>
        <v>0</v>
      </c>
      <c r="BY9" s="197">
        <f t="shared" si="17"/>
        <v>0</v>
      </c>
      <c r="BZ9" s="197" t="str">
        <f t="shared" ref="BZ9" si="18">IFERROR(IF(MONTH(BZ5)&lt;&gt;MONTH(BU5),BZ5,""),"")</f>
        <v/>
      </c>
      <c r="CA9" s="197">
        <f t="shared" si="17"/>
        <v>0</v>
      </c>
      <c r="CB9" s="197">
        <f t="shared" si="17"/>
        <v>0</v>
      </c>
      <c r="CC9" s="197">
        <f t="shared" si="17"/>
        <v>0</v>
      </c>
      <c r="CD9" s="197">
        <f t="shared" si="17"/>
        <v>0</v>
      </c>
      <c r="CE9" s="197">
        <f t="shared" ref="CE9" si="19">IFERROR(IF(MONTH(CE5)&lt;&gt;MONTH(BZ5),CE5,""),"")</f>
        <v>40882</v>
      </c>
      <c r="CF9" s="197">
        <f t="shared" si="17"/>
        <v>0</v>
      </c>
      <c r="CG9" s="197">
        <f t="shared" si="17"/>
        <v>0</v>
      </c>
      <c r="CH9" s="197">
        <f t="shared" si="17"/>
        <v>0</v>
      </c>
      <c r="CI9" s="197">
        <f t="shared" si="17"/>
        <v>0</v>
      </c>
      <c r="CJ9" s="197" t="str">
        <f t="shared" ref="CJ9" si="20">IFERROR(IF(MONTH(CJ5)&lt;&gt;MONTH(CE5),CJ5,""),"")</f>
        <v/>
      </c>
      <c r="CK9" s="197">
        <f t="shared" si="17"/>
        <v>0</v>
      </c>
      <c r="CL9" s="197">
        <f t="shared" si="17"/>
        <v>0</v>
      </c>
      <c r="CM9" s="197">
        <f t="shared" si="17"/>
        <v>0</v>
      </c>
      <c r="CN9" s="197">
        <f t="shared" si="17"/>
        <v>0</v>
      </c>
      <c r="CO9" s="197" t="str">
        <f t="shared" ref="CO9" si="21">IFERROR(IF(MONTH(CO5)&lt;&gt;MONTH(CJ5),CO5,""),"")</f>
        <v/>
      </c>
      <c r="CP9" s="197">
        <f t="shared" si="17"/>
        <v>0</v>
      </c>
      <c r="CQ9" s="197">
        <f t="shared" si="17"/>
        <v>0</v>
      </c>
      <c r="CR9" s="197">
        <f t="shared" si="17"/>
        <v>0</v>
      </c>
      <c r="CS9" s="202">
        <f t="shared" si="17"/>
        <v>0</v>
      </c>
      <c r="CT9" s="14"/>
      <c r="CU9" t="s">
        <v>209</v>
      </c>
      <c r="DD9" s="112" t="str">
        <f>IFERROR(TEXT(DD10,"mmmmm'yy"),"")</f>
        <v>A'11</v>
      </c>
      <c r="DE9" s="113" t="str">
        <f>IFERROR(IF(MONTH(DE10)&lt;&gt;MONTH(DD10),TEXT(DE10,"mmm"),""),"")</f>
        <v/>
      </c>
      <c r="DF9" s="113" t="str">
        <f t="shared" ref="DF9:EG9" si="22">IFERROR(IF(MONTH(DF10)&lt;&gt;MONTH(DE10),TEXT(DF10,"mmm"),""),"")</f>
        <v>Sep</v>
      </c>
      <c r="DG9" s="113" t="str">
        <f t="shared" si="22"/>
        <v/>
      </c>
      <c r="DH9" s="113" t="str">
        <f t="shared" si="22"/>
        <v/>
      </c>
      <c r="DI9" s="113" t="str">
        <f t="shared" si="22"/>
        <v/>
      </c>
      <c r="DJ9" s="113" t="str">
        <f t="shared" si="22"/>
        <v>Oct</v>
      </c>
      <c r="DK9" s="113" t="str">
        <f t="shared" si="22"/>
        <v/>
      </c>
      <c r="DL9" s="113" t="str">
        <f t="shared" si="22"/>
        <v/>
      </c>
      <c r="DM9" s="113" t="str">
        <f t="shared" si="22"/>
        <v/>
      </c>
      <c r="DN9" s="113" t="str">
        <f t="shared" si="22"/>
        <v/>
      </c>
      <c r="DO9" s="113" t="str">
        <f t="shared" si="22"/>
        <v>Nov</v>
      </c>
      <c r="DP9" s="113" t="str">
        <f t="shared" si="22"/>
        <v/>
      </c>
      <c r="DQ9" s="113" t="str">
        <f t="shared" si="22"/>
        <v/>
      </c>
      <c r="DR9" s="113" t="str">
        <f t="shared" si="22"/>
        <v/>
      </c>
      <c r="DS9" s="113" t="str">
        <f t="shared" si="22"/>
        <v>Dec</v>
      </c>
      <c r="DT9" s="113" t="str">
        <f t="shared" si="22"/>
        <v/>
      </c>
      <c r="DU9" s="113" t="str">
        <f t="shared" si="22"/>
        <v/>
      </c>
      <c r="DV9" s="113" t="str">
        <f t="shared" si="22"/>
        <v/>
      </c>
      <c r="DW9" s="113" t="str">
        <f t="shared" si="22"/>
        <v>Jan</v>
      </c>
      <c r="DX9" s="113" t="str">
        <f t="shared" si="22"/>
        <v/>
      </c>
      <c r="DY9" s="113" t="str">
        <f t="shared" si="22"/>
        <v/>
      </c>
      <c r="DZ9" s="113" t="str">
        <f t="shared" si="22"/>
        <v/>
      </c>
      <c r="EA9" s="113" t="str">
        <f t="shared" si="22"/>
        <v/>
      </c>
      <c r="EB9" s="113" t="str">
        <f t="shared" si="22"/>
        <v>Feb</v>
      </c>
      <c r="EC9" s="113" t="str">
        <f t="shared" si="22"/>
        <v/>
      </c>
      <c r="ED9" s="113" t="str">
        <f t="shared" si="22"/>
        <v/>
      </c>
      <c r="EE9" s="113" t="str">
        <f t="shared" si="22"/>
        <v/>
      </c>
      <c r="EF9" s="113" t="str">
        <f t="shared" si="22"/>
        <v>Mar</v>
      </c>
      <c r="EG9" s="114" t="str">
        <f t="shared" si="22"/>
        <v/>
      </c>
      <c r="EJ9" t="s">
        <v>210</v>
      </c>
      <c r="ES9" s="121">
        <f>IFERROR(YEAR(ES5),"")</f>
        <v>2011</v>
      </c>
      <c r="ET9" s="122" t="str">
        <f>IFERROR(IF(YEAR(ET5)=YEAR(ES5),"",YEAR(ET5)),"")</f>
        <v/>
      </c>
      <c r="EU9" s="122" t="str">
        <f t="shared" ref="EU9:FV9" si="23">IFERROR(IF(YEAR(EU5)=YEAR(ET5),"",YEAR(EU5)),"")</f>
        <v/>
      </c>
      <c r="EV9" s="122" t="str">
        <f t="shared" si="23"/>
        <v/>
      </c>
      <c r="EW9" s="122" t="str">
        <f t="shared" si="23"/>
        <v/>
      </c>
      <c r="EX9" s="122">
        <f t="shared" si="23"/>
        <v>2012</v>
      </c>
      <c r="EY9" s="122" t="str">
        <f t="shared" si="23"/>
        <v/>
      </c>
      <c r="EZ9" s="122" t="str">
        <f t="shared" si="23"/>
        <v/>
      </c>
      <c r="FA9" s="122" t="str">
        <f t="shared" si="23"/>
        <v/>
      </c>
      <c r="FB9" s="122" t="str">
        <f t="shared" si="23"/>
        <v/>
      </c>
      <c r="FC9" s="122" t="str">
        <f t="shared" si="23"/>
        <v/>
      </c>
      <c r="FD9" s="122" t="str">
        <f t="shared" si="23"/>
        <v/>
      </c>
      <c r="FE9" s="122" t="str">
        <f t="shared" si="23"/>
        <v/>
      </c>
      <c r="FF9" s="122" t="str">
        <f t="shared" si="23"/>
        <v/>
      </c>
      <c r="FG9" s="122" t="str">
        <f t="shared" si="23"/>
        <v/>
      </c>
      <c r="FH9" s="122" t="str">
        <f t="shared" si="23"/>
        <v/>
      </c>
      <c r="FI9" s="122" t="str">
        <f t="shared" si="23"/>
        <v/>
      </c>
      <c r="FJ9" s="122">
        <f t="shared" si="23"/>
        <v>2013</v>
      </c>
      <c r="FK9" s="122" t="str">
        <f t="shared" si="23"/>
        <v/>
      </c>
      <c r="FL9" s="122" t="str">
        <f t="shared" si="23"/>
        <v/>
      </c>
      <c r="FM9" s="122" t="str">
        <f t="shared" si="23"/>
        <v/>
      </c>
      <c r="FN9" s="122" t="str">
        <f t="shared" si="23"/>
        <v/>
      </c>
      <c r="FO9" s="122" t="str">
        <f t="shared" si="23"/>
        <v/>
      </c>
      <c r="FP9" s="122" t="str">
        <f t="shared" si="23"/>
        <v/>
      </c>
      <c r="FQ9" s="122" t="str">
        <f t="shared" si="23"/>
        <v/>
      </c>
      <c r="FR9" s="122" t="str">
        <f t="shared" si="23"/>
        <v/>
      </c>
      <c r="FS9" s="122" t="str">
        <f t="shared" si="23"/>
        <v/>
      </c>
      <c r="FT9" s="122" t="str">
        <f t="shared" si="23"/>
        <v/>
      </c>
      <c r="FU9" s="122" t="str">
        <f t="shared" si="23"/>
        <v/>
      </c>
      <c r="FV9" s="123">
        <f t="shared" si="23"/>
        <v>2014</v>
      </c>
    </row>
    <row r="10" spans="2:178" x14ac:dyDescent="0.3">
      <c r="B10" s="73" t="str">
        <f>Calculations!D28</f>
        <v>Activity</v>
      </c>
      <c r="C10" s="74" t="str">
        <f>Calculations!F28</f>
        <v>Duration</v>
      </c>
      <c r="D10" s="74" t="str">
        <f>Calculations!G28</f>
        <v>% done</v>
      </c>
      <c r="E10" s="74" t="s">
        <v>148</v>
      </c>
      <c r="F10" s="108" t="s">
        <v>147</v>
      </c>
      <c r="G10" s="108" t="s">
        <v>199</v>
      </c>
      <c r="H10" s="199">
        <f>IFERROR(H5,"")</f>
        <v>40777</v>
      </c>
      <c r="I10" s="200"/>
      <c r="J10" s="200"/>
      <c r="K10" s="200"/>
      <c r="L10" s="201"/>
      <c r="M10" s="198">
        <f t="shared" ref="M10" si="24">IFERROR(M5,"")</f>
        <v>40784</v>
      </c>
      <c r="N10" s="198"/>
      <c r="O10" s="198"/>
      <c r="P10" s="198"/>
      <c r="Q10" s="198"/>
      <c r="R10" s="199">
        <f t="shared" ref="R10" si="25">IFERROR(R5,"")</f>
        <v>40791</v>
      </c>
      <c r="S10" s="200"/>
      <c r="T10" s="200"/>
      <c r="U10" s="200"/>
      <c r="V10" s="201"/>
      <c r="W10" s="198">
        <f t="shared" ref="W10" si="26">IFERROR(W5,"")</f>
        <v>40798</v>
      </c>
      <c r="X10" s="198"/>
      <c r="Y10" s="198"/>
      <c r="Z10" s="198"/>
      <c r="AA10" s="198"/>
      <c r="AB10" s="199">
        <f t="shared" ref="AB10" si="27">IFERROR(AB5,"")</f>
        <v>40805</v>
      </c>
      <c r="AC10" s="200"/>
      <c r="AD10" s="200"/>
      <c r="AE10" s="200"/>
      <c r="AF10" s="201"/>
      <c r="AG10" s="198">
        <f t="shared" ref="AG10" si="28">IFERROR(AG5,"")</f>
        <v>40812</v>
      </c>
      <c r="AH10" s="198"/>
      <c r="AI10" s="198"/>
      <c r="AJ10" s="198"/>
      <c r="AK10" s="198"/>
      <c r="AL10" s="199">
        <f t="shared" ref="AL10" si="29">IFERROR(AL5,"")</f>
        <v>40819</v>
      </c>
      <c r="AM10" s="200"/>
      <c r="AN10" s="200"/>
      <c r="AO10" s="200"/>
      <c r="AP10" s="201"/>
      <c r="AQ10" s="198">
        <f t="shared" ref="AQ10" si="30">IFERROR(AQ5,"")</f>
        <v>40826</v>
      </c>
      <c r="AR10" s="198"/>
      <c r="AS10" s="198"/>
      <c r="AT10" s="198"/>
      <c r="AU10" s="198"/>
      <c r="AV10" s="199">
        <f t="shared" ref="AV10" si="31">IFERROR(AV5,"")</f>
        <v>40833</v>
      </c>
      <c r="AW10" s="200"/>
      <c r="AX10" s="200"/>
      <c r="AY10" s="200"/>
      <c r="AZ10" s="201"/>
      <c r="BA10" s="198">
        <f t="shared" ref="BA10" si="32">IFERROR(BA5,"")</f>
        <v>40840</v>
      </c>
      <c r="BB10" s="198"/>
      <c r="BC10" s="198"/>
      <c r="BD10" s="198"/>
      <c r="BE10" s="198"/>
      <c r="BF10" s="199">
        <f t="shared" ref="BF10" si="33">IFERROR(BF5,"")</f>
        <v>40847</v>
      </c>
      <c r="BG10" s="200"/>
      <c r="BH10" s="200"/>
      <c r="BI10" s="200"/>
      <c r="BJ10" s="201"/>
      <c r="BK10" s="198">
        <f t="shared" ref="BK10" si="34">IFERROR(BK5,"")</f>
        <v>40854</v>
      </c>
      <c r="BL10" s="198"/>
      <c r="BM10" s="198"/>
      <c r="BN10" s="198"/>
      <c r="BO10" s="198"/>
      <c r="BP10" s="199">
        <f t="shared" ref="BP10" si="35">IFERROR(BP5,"")</f>
        <v>40861</v>
      </c>
      <c r="BQ10" s="200"/>
      <c r="BR10" s="200"/>
      <c r="BS10" s="200"/>
      <c r="BT10" s="201"/>
      <c r="BU10" s="198">
        <f t="shared" ref="BU10" si="36">IFERROR(BU5,"")</f>
        <v>40868</v>
      </c>
      <c r="BV10" s="198"/>
      <c r="BW10" s="198"/>
      <c r="BX10" s="198"/>
      <c r="BY10" s="198"/>
      <c r="BZ10" s="199">
        <f t="shared" ref="BZ10" si="37">IFERROR(BZ5,"")</f>
        <v>40875</v>
      </c>
      <c r="CA10" s="200"/>
      <c r="CB10" s="200"/>
      <c r="CC10" s="200"/>
      <c r="CD10" s="201"/>
      <c r="CE10" s="198">
        <f t="shared" ref="CE10" si="38">IFERROR(CE5,"")</f>
        <v>40882</v>
      </c>
      <c r="CF10" s="198"/>
      <c r="CG10" s="198"/>
      <c r="CH10" s="198"/>
      <c r="CI10" s="198"/>
      <c r="CJ10" s="199">
        <f t="shared" ref="CJ10" si="39">IFERROR(CJ5,"")</f>
        <v>40889</v>
      </c>
      <c r="CK10" s="200"/>
      <c r="CL10" s="200"/>
      <c r="CM10" s="200"/>
      <c r="CN10" s="201"/>
      <c r="CO10" s="199">
        <f t="shared" ref="CO10" si="40">IFERROR(CO5,"")</f>
        <v>40896</v>
      </c>
      <c r="CP10" s="200"/>
      <c r="CQ10" s="200"/>
      <c r="CR10" s="200"/>
      <c r="CS10" s="201"/>
      <c r="CT10" s="14">
        <f>CT5</f>
        <v>40903</v>
      </c>
      <c r="CU10" t="s">
        <v>147</v>
      </c>
      <c r="CV10" t="s">
        <v>204</v>
      </c>
      <c r="CX10" s="73" t="str">
        <f t="shared" ref="CX10:CX26" si="41">B10</f>
        <v>Activity</v>
      </c>
      <c r="CY10" s="74" t="str">
        <f t="shared" ref="CY10:CY26" si="42">C10</f>
        <v>Duration</v>
      </c>
      <c r="CZ10" s="74" t="str">
        <f t="shared" ref="CZ10:CZ26" si="43">D10</f>
        <v>% done</v>
      </c>
      <c r="DA10" s="74" t="str">
        <f t="shared" ref="DA10:DA26" si="44">E10</f>
        <v>% Budget</v>
      </c>
      <c r="DB10" s="108" t="str">
        <f t="shared" ref="DB10:DB26" si="45">F10</f>
        <v>Start</v>
      </c>
      <c r="DC10" s="108" t="s">
        <v>199</v>
      </c>
      <c r="DD10" s="172">
        <f>IFERROR(DD5,"")</f>
        <v>40777</v>
      </c>
      <c r="DE10" s="173">
        <f t="shared" ref="DE10:EG10" si="46">IFERROR(DE5,"")</f>
        <v>40784</v>
      </c>
      <c r="DF10" s="173">
        <f t="shared" si="46"/>
        <v>40791</v>
      </c>
      <c r="DG10" s="173">
        <f t="shared" si="46"/>
        <v>40798</v>
      </c>
      <c r="DH10" s="173">
        <f t="shared" si="46"/>
        <v>40805</v>
      </c>
      <c r="DI10" s="173">
        <f t="shared" si="46"/>
        <v>40812</v>
      </c>
      <c r="DJ10" s="173">
        <f t="shared" si="46"/>
        <v>40819</v>
      </c>
      <c r="DK10" s="173">
        <f t="shared" si="46"/>
        <v>40826</v>
      </c>
      <c r="DL10" s="173">
        <f t="shared" si="46"/>
        <v>40833</v>
      </c>
      <c r="DM10" s="173">
        <f t="shared" si="46"/>
        <v>40840</v>
      </c>
      <c r="DN10" s="173">
        <f t="shared" si="46"/>
        <v>40847</v>
      </c>
      <c r="DO10" s="173">
        <f t="shared" si="46"/>
        <v>40854</v>
      </c>
      <c r="DP10" s="173">
        <f t="shared" si="46"/>
        <v>40861</v>
      </c>
      <c r="DQ10" s="173">
        <f t="shared" si="46"/>
        <v>40868</v>
      </c>
      <c r="DR10" s="173">
        <f t="shared" si="46"/>
        <v>40875</v>
      </c>
      <c r="DS10" s="173">
        <f t="shared" si="46"/>
        <v>40882</v>
      </c>
      <c r="DT10" s="173">
        <f t="shared" si="46"/>
        <v>40889</v>
      </c>
      <c r="DU10" s="173">
        <f t="shared" si="46"/>
        <v>40896</v>
      </c>
      <c r="DV10" s="173">
        <f t="shared" si="46"/>
        <v>40903</v>
      </c>
      <c r="DW10" s="173">
        <f t="shared" si="46"/>
        <v>40910</v>
      </c>
      <c r="DX10" s="173">
        <f t="shared" si="46"/>
        <v>40917</v>
      </c>
      <c r="DY10" s="173">
        <f t="shared" si="46"/>
        <v>40924</v>
      </c>
      <c r="DZ10" s="173">
        <f t="shared" si="46"/>
        <v>40931</v>
      </c>
      <c r="EA10" s="173">
        <f t="shared" si="46"/>
        <v>40938</v>
      </c>
      <c r="EB10" s="173">
        <f t="shared" si="46"/>
        <v>40945</v>
      </c>
      <c r="EC10" s="173">
        <f t="shared" si="46"/>
        <v>40952</v>
      </c>
      <c r="ED10" s="173">
        <f t="shared" si="46"/>
        <v>40959</v>
      </c>
      <c r="EE10" s="173">
        <f t="shared" si="46"/>
        <v>40966</v>
      </c>
      <c r="EF10" s="173">
        <f t="shared" si="46"/>
        <v>40973</v>
      </c>
      <c r="EG10" s="174">
        <f t="shared" si="46"/>
        <v>40980</v>
      </c>
      <c r="EJ10" t="str">
        <f t="shared" ref="EJ10" si="47">CU10</f>
        <v>Start</v>
      </c>
      <c r="EK10" t="str">
        <f t="shared" ref="EK10" si="48">CV10</f>
        <v>Completion</v>
      </c>
      <c r="EM10" s="73" t="str">
        <f t="shared" ref="EM10:EM26" si="49">CX10</f>
        <v>Activity</v>
      </c>
      <c r="EN10" s="74" t="str">
        <f t="shared" ref="EN10:EN26" si="50">CY10</f>
        <v>Duration</v>
      </c>
      <c r="EO10" s="74" t="str">
        <f t="shared" ref="EO10:EO26" si="51">CZ10</f>
        <v>% done</v>
      </c>
      <c r="EP10" s="74" t="str">
        <f t="shared" ref="EP10:EP26" si="52">DA10</f>
        <v>% Budget</v>
      </c>
      <c r="EQ10" s="108" t="str">
        <f t="shared" ref="EQ10:EQ26" si="53">DB10</f>
        <v>Start</v>
      </c>
      <c r="ER10" s="108" t="str">
        <f t="shared" ref="ER10:ER26" si="54">DC10</f>
        <v>End</v>
      </c>
      <c r="ES10" s="129">
        <f>IFERROR(ES5,"")</f>
        <v>40756</v>
      </c>
      <c r="ET10" s="130">
        <f t="shared" ref="ET10:FV10" si="55">IFERROR(ET5,"")</f>
        <v>40787</v>
      </c>
      <c r="EU10" s="130">
        <f t="shared" si="55"/>
        <v>40817</v>
      </c>
      <c r="EV10" s="130">
        <f t="shared" si="55"/>
        <v>40848</v>
      </c>
      <c r="EW10" s="130">
        <f t="shared" si="55"/>
        <v>40878</v>
      </c>
      <c r="EX10" s="130">
        <f t="shared" si="55"/>
        <v>40909</v>
      </c>
      <c r="EY10" s="130">
        <f t="shared" si="55"/>
        <v>40940</v>
      </c>
      <c r="EZ10" s="130">
        <f t="shared" si="55"/>
        <v>40969</v>
      </c>
      <c r="FA10" s="130">
        <f t="shared" si="55"/>
        <v>41000</v>
      </c>
      <c r="FB10" s="130">
        <f t="shared" si="55"/>
        <v>41030</v>
      </c>
      <c r="FC10" s="130">
        <f t="shared" si="55"/>
        <v>41061</v>
      </c>
      <c r="FD10" s="130">
        <f t="shared" si="55"/>
        <v>41091</v>
      </c>
      <c r="FE10" s="130">
        <f t="shared" si="55"/>
        <v>41122</v>
      </c>
      <c r="FF10" s="130">
        <f t="shared" si="55"/>
        <v>41153</v>
      </c>
      <c r="FG10" s="130">
        <f t="shared" si="55"/>
        <v>41183</v>
      </c>
      <c r="FH10" s="130">
        <f t="shared" si="55"/>
        <v>41214</v>
      </c>
      <c r="FI10" s="130">
        <f t="shared" si="55"/>
        <v>41244</v>
      </c>
      <c r="FJ10" s="130">
        <f t="shared" si="55"/>
        <v>41275</v>
      </c>
      <c r="FK10" s="130">
        <f t="shared" si="55"/>
        <v>41306</v>
      </c>
      <c r="FL10" s="130">
        <f t="shared" si="55"/>
        <v>41334</v>
      </c>
      <c r="FM10" s="130">
        <f t="shared" si="55"/>
        <v>41365</v>
      </c>
      <c r="FN10" s="130">
        <f t="shared" si="55"/>
        <v>41395</v>
      </c>
      <c r="FO10" s="130">
        <f t="shared" si="55"/>
        <v>41426</v>
      </c>
      <c r="FP10" s="130">
        <f t="shared" si="55"/>
        <v>41456</v>
      </c>
      <c r="FQ10" s="130">
        <f t="shared" si="55"/>
        <v>41487</v>
      </c>
      <c r="FR10" s="130">
        <f t="shared" si="55"/>
        <v>41518</v>
      </c>
      <c r="FS10" s="130">
        <f t="shared" si="55"/>
        <v>41548</v>
      </c>
      <c r="FT10" s="130">
        <f t="shared" si="55"/>
        <v>41579</v>
      </c>
      <c r="FU10" s="130">
        <f t="shared" si="55"/>
        <v>41609</v>
      </c>
      <c r="FV10" s="131">
        <f t="shared" si="55"/>
        <v>41640</v>
      </c>
    </row>
    <row r="11" spans="2:178" x14ac:dyDescent="0.3">
      <c r="B11" s="65" t="str">
        <f>Calculations!D29</f>
        <v>Activity 1</v>
      </c>
      <c r="C11" s="66">
        <f>Calculations!F29</f>
        <v>14</v>
      </c>
      <c r="D11" s="67">
        <f>Calculations!G29</f>
        <v>0.77</v>
      </c>
      <c r="E11" s="68">
        <f>IFERROR(Calculations!I29/Calculations!H29,"")</f>
        <v>0.63519999999999999</v>
      </c>
      <c r="F11" s="109">
        <f>Calculations!E29</f>
        <v>40782</v>
      </c>
      <c r="G11" s="109">
        <f t="shared" ref="G11:G26" si="56">WORKDAY(F11,C11,lstHolidays)</f>
        <v>40801</v>
      </c>
      <c r="H11" s="124"/>
      <c r="I11" s="4"/>
      <c r="J11" s="4"/>
      <c r="K11" s="4"/>
      <c r="L11" s="125"/>
      <c r="R11" s="124"/>
      <c r="S11" s="4"/>
      <c r="T11" s="4"/>
      <c r="U11" s="4"/>
      <c r="V11" s="125"/>
      <c r="AB11" s="124"/>
      <c r="AC11" s="4"/>
      <c r="AD11" s="4"/>
      <c r="AE11" s="4"/>
      <c r="AF11" s="125"/>
      <c r="AL11" s="124"/>
      <c r="AM11" s="4"/>
      <c r="AN11" s="4"/>
      <c r="AO11" s="4"/>
      <c r="AP11" s="125"/>
      <c r="AV11" s="124"/>
      <c r="AW11" s="4"/>
      <c r="AX11" s="4"/>
      <c r="AY11" s="4"/>
      <c r="AZ11" s="125"/>
      <c r="BF11" s="124"/>
      <c r="BG11" s="4"/>
      <c r="BH11" s="4"/>
      <c r="BI11" s="4"/>
      <c r="BJ11" s="125"/>
      <c r="BP11" s="124"/>
      <c r="BQ11" s="4"/>
      <c r="BR11" s="4"/>
      <c r="BS11" s="4"/>
      <c r="BT11" s="125"/>
      <c r="BZ11" s="124"/>
      <c r="CA11" s="4"/>
      <c r="CB11" s="4"/>
      <c r="CC11" s="4"/>
      <c r="CD11" s="125"/>
      <c r="CJ11" s="124"/>
      <c r="CK11" s="4"/>
      <c r="CL11" s="4"/>
      <c r="CM11" s="4"/>
      <c r="CN11" s="125"/>
      <c r="CO11" s="124"/>
      <c r="CP11" s="4"/>
      <c r="CQ11" s="4"/>
      <c r="CR11" s="4"/>
      <c r="CS11" s="125"/>
      <c r="CU11" s="13">
        <f t="shared" ref="CU11:CU26" si="57">F11-CHOOSE(WEEKDAY(F11),6,0,1,2,3,4,5)</f>
        <v>40777</v>
      </c>
      <c r="CV11" s="13">
        <f t="shared" ref="CV11:CV26" si="58">G11+CHOOSE(WEEKDAY(G11),1,0,6,5,4,3,2)</f>
        <v>40805</v>
      </c>
      <c r="CX11" s="65" t="str">
        <f t="shared" si="41"/>
        <v>Activity 1</v>
      </c>
      <c r="CY11" s="66">
        <f t="shared" si="42"/>
        <v>14</v>
      </c>
      <c r="CZ11" s="67">
        <f t="shared" si="43"/>
        <v>0.77</v>
      </c>
      <c r="DA11" s="68">
        <f t="shared" si="44"/>
        <v>0.63519999999999999</v>
      </c>
      <c r="DB11" s="109">
        <f t="shared" si="45"/>
        <v>40782</v>
      </c>
      <c r="DC11" s="109">
        <f t="shared" ref="DC11:DC26" si="59">G11</f>
        <v>40801</v>
      </c>
      <c r="DD11" s="115"/>
      <c r="DE11" s="116"/>
      <c r="DF11" s="116"/>
      <c r="DG11" s="116"/>
      <c r="DH11" s="116"/>
      <c r="DI11" s="116"/>
      <c r="DJ11" s="116"/>
      <c r="DK11" s="116"/>
      <c r="DL11" s="116"/>
      <c r="DM11" s="116"/>
      <c r="DN11" s="116"/>
      <c r="DO11" s="116"/>
      <c r="DP11" s="116"/>
      <c r="DQ11" s="116"/>
      <c r="DR11" s="116"/>
      <c r="DS11" s="116"/>
      <c r="DT11" s="116"/>
      <c r="DU11" s="116"/>
      <c r="DV11" s="116"/>
      <c r="DW11" s="116"/>
      <c r="DX11" s="116"/>
      <c r="DY11" s="116"/>
      <c r="DZ11" s="116"/>
      <c r="EA11" s="116"/>
      <c r="EB11" s="116"/>
      <c r="EC11" s="116"/>
      <c r="ED11" s="116"/>
      <c r="EE11" s="116"/>
      <c r="EF11" s="116"/>
      <c r="EG11" s="117"/>
      <c r="EJ11" s="13">
        <f t="shared" ref="EJ11:EJ26" si="60">DATE(YEAR(F11),MONTH(F11),1)</f>
        <v>40756</v>
      </c>
      <c r="EK11" s="13">
        <f t="shared" ref="EK11:EK26" si="61">DATE(YEAR(G11),MONTH(G11),1)</f>
        <v>40787</v>
      </c>
      <c r="EM11" s="65" t="str">
        <f t="shared" si="49"/>
        <v>Activity 1</v>
      </c>
      <c r="EN11" s="66">
        <f t="shared" si="50"/>
        <v>14</v>
      </c>
      <c r="EO11" s="67">
        <f t="shared" si="51"/>
        <v>0.77</v>
      </c>
      <c r="EP11" s="68">
        <f t="shared" si="52"/>
        <v>0.63519999999999999</v>
      </c>
      <c r="EQ11" s="109">
        <f t="shared" si="53"/>
        <v>40782</v>
      </c>
      <c r="ER11" s="109">
        <f t="shared" si="54"/>
        <v>40801</v>
      </c>
      <c r="ES11" s="132"/>
      <c r="ET11" s="133"/>
      <c r="EU11" s="133"/>
      <c r="EV11" s="133"/>
      <c r="EW11" s="133"/>
      <c r="EX11" s="133"/>
      <c r="EY11" s="133"/>
      <c r="EZ11" s="133"/>
      <c r="FA11" s="133"/>
      <c r="FB11" s="133"/>
      <c r="FC11" s="133"/>
      <c r="FD11" s="133"/>
      <c r="FE11" s="133"/>
      <c r="FF11" s="133"/>
      <c r="FG11" s="133"/>
      <c r="FH11" s="133"/>
      <c r="FI11" s="133"/>
      <c r="FJ11" s="133"/>
      <c r="FK11" s="133"/>
      <c r="FL11" s="133"/>
      <c r="FM11" s="133"/>
      <c r="FN11" s="133"/>
      <c r="FO11" s="133"/>
      <c r="FP11" s="133"/>
      <c r="FQ11" s="133"/>
      <c r="FR11" s="133"/>
      <c r="FS11" s="133"/>
      <c r="FT11" s="133"/>
      <c r="FU11" s="133"/>
      <c r="FV11" s="134"/>
    </row>
    <row r="12" spans="2:178" x14ac:dyDescent="0.3">
      <c r="B12" s="69" t="str">
        <f>Calculations!D30</f>
        <v>Activity 2</v>
      </c>
      <c r="C12" s="70">
        <f>Calculations!F30</f>
        <v>21</v>
      </c>
      <c r="D12" s="71">
        <f>Calculations!G30</f>
        <v>0.17</v>
      </c>
      <c r="E12" s="72">
        <f>IFERROR(Calculations!I30/Calculations!H30,"")</f>
        <v>0.11899999999999999</v>
      </c>
      <c r="F12" s="110">
        <f>Calculations!E30</f>
        <v>40801</v>
      </c>
      <c r="G12" s="110">
        <f t="shared" si="56"/>
        <v>40830</v>
      </c>
      <c r="H12" s="126"/>
      <c r="I12" s="127"/>
      <c r="J12" s="127"/>
      <c r="K12" s="127"/>
      <c r="L12" s="128"/>
      <c r="M12" s="127"/>
      <c r="N12" s="127"/>
      <c r="O12" s="127"/>
      <c r="P12" s="127"/>
      <c r="Q12" s="127"/>
      <c r="R12" s="126"/>
      <c r="S12" s="127"/>
      <c r="T12" s="127"/>
      <c r="U12" s="127"/>
      <c r="V12" s="128"/>
      <c r="W12" s="127"/>
      <c r="X12" s="127"/>
      <c r="Y12" s="127"/>
      <c r="Z12" s="127"/>
      <c r="AA12" s="127"/>
      <c r="AB12" s="126"/>
      <c r="AC12" s="127"/>
      <c r="AD12" s="127"/>
      <c r="AE12" s="127"/>
      <c r="AF12" s="128"/>
      <c r="AG12" s="127"/>
      <c r="AH12" s="127"/>
      <c r="AI12" s="127"/>
      <c r="AJ12" s="127"/>
      <c r="AK12" s="127"/>
      <c r="AL12" s="126"/>
      <c r="AM12" s="127"/>
      <c r="AN12" s="127"/>
      <c r="AO12" s="127"/>
      <c r="AP12" s="128"/>
      <c r="AQ12" s="127"/>
      <c r="AR12" s="127"/>
      <c r="AS12" s="127"/>
      <c r="AT12" s="127"/>
      <c r="AU12" s="127"/>
      <c r="AV12" s="126"/>
      <c r="AW12" s="127"/>
      <c r="AX12" s="127"/>
      <c r="AY12" s="127"/>
      <c r="AZ12" s="128"/>
      <c r="BA12" s="127"/>
      <c r="BB12" s="127"/>
      <c r="BC12" s="127"/>
      <c r="BD12" s="127"/>
      <c r="BE12" s="127"/>
      <c r="BF12" s="126"/>
      <c r="BG12" s="127"/>
      <c r="BH12" s="127"/>
      <c r="BI12" s="127"/>
      <c r="BJ12" s="128"/>
      <c r="BK12" s="127"/>
      <c r="BL12" s="127"/>
      <c r="BM12" s="127"/>
      <c r="BN12" s="127"/>
      <c r="BO12" s="127"/>
      <c r="BP12" s="126"/>
      <c r="BQ12" s="127"/>
      <c r="BR12" s="127"/>
      <c r="BS12" s="127"/>
      <c r="BT12" s="128"/>
      <c r="BU12" s="127"/>
      <c r="BV12" s="127"/>
      <c r="BW12" s="127"/>
      <c r="BX12" s="127"/>
      <c r="BY12" s="127"/>
      <c r="BZ12" s="126"/>
      <c r="CA12" s="127"/>
      <c r="CB12" s="127"/>
      <c r="CC12" s="127"/>
      <c r="CD12" s="128"/>
      <c r="CE12" s="127"/>
      <c r="CF12" s="127"/>
      <c r="CG12" s="127"/>
      <c r="CH12" s="127"/>
      <c r="CI12" s="127"/>
      <c r="CJ12" s="126"/>
      <c r="CK12" s="127"/>
      <c r="CL12" s="127"/>
      <c r="CM12" s="127"/>
      <c r="CN12" s="128"/>
      <c r="CO12" s="126"/>
      <c r="CP12" s="127"/>
      <c r="CQ12" s="127"/>
      <c r="CR12" s="127"/>
      <c r="CS12" s="128"/>
      <c r="CU12" s="13">
        <f t="shared" si="57"/>
        <v>40798</v>
      </c>
      <c r="CV12" s="13">
        <f t="shared" si="58"/>
        <v>40833</v>
      </c>
      <c r="CX12" s="69" t="str">
        <f t="shared" si="41"/>
        <v>Activity 2</v>
      </c>
      <c r="CY12" s="70">
        <f t="shared" si="42"/>
        <v>21</v>
      </c>
      <c r="CZ12" s="71">
        <f t="shared" si="43"/>
        <v>0.17</v>
      </c>
      <c r="DA12" s="72">
        <f t="shared" si="44"/>
        <v>0.11899999999999999</v>
      </c>
      <c r="DB12" s="110">
        <f t="shared" si="45"/>
        <v>40801</v>
      </c>
      <c r="DC12" s="110">
        <f t="shared" si="59"/>
        <v>40830</v>
      </c>
      <c r="DD12" s="118"/>
      <c r="DE12" s="119"/>
      <c r="DF12" s="119"/>
      <c r="DG12" s="119"/>
      <c r="DH12" s="119"/>
      <c r="DI12" s="119"/>
      <c r="DJ12" s="119"/>
      <c r="DK12" s="119"/>
      <c r="DL12" s="119"/>
      <c r="DM12" s="119"/>
      <c r="DN12" s="119"/>
      <c r="DO12" s="119"/>
      <c r="DP12" s="119"/>
      <c r="DQ12" s="119"/>
      <c r="DR12" s="119"/>
      <c r="DS12" s="119"/>
      <c r="DT12" s="119"/>
      <c r="DU12" s="119"/>
      <c r="DV12" s="119"/>
      <c r="DW12" s="119"/>
      <c r="DX12" s="119"/>
      <c r="DY12" s="119"/>
      <c r="DZ12" s="119"/>
      <c r="EA12" s="119"/>
      <c r="EB12" s="119"/>
      <c r="EC12" s="119"/>
      <c r="ED12" s="119"/>
      <c r="EE12" s="119"/>
      <c r="EF12" s="119"/>
      <c r="EG12" s="120"/>
      <c r="EJ12" s="13">
        <f t="shared" si="60"/>
        <v>40787</v>
      </c>
      <c r="EK12" s="13">
        <f t="shared" si="61"/>
        <v>40817</v>
      </c>
      <c r="EM12" s="69" t="str">
        <f t="shared" si="49"/>
        <v>Activity 2</v>
      </c>
      <c r="EN12" s="70">
        <f t="shared" si="50"/>
        <v>21</v>
      </c>
      <c r="EO12" s="71">
        <f t="shared" si="51"/>
        <v>0.17</v>
      </c>
      <c r="EP12" s="72">
        <f t="shared" si="52"/>
        <v>0.11899999999999999</v>
      </c>
      <c r="EQ12" s="110">
        <f t="shared" si="53"/>
        <v>40801</v>
      </c>
      <c r="ER12" s="110">
        <f t="shared" si="54"/>
        <v>40830</v>
      </c>
      <c r="ES12" s="135"/>
      <c r="ET12" s="136"/>
      <c r="EU12" s="136"/>
      <c r="EV12" s="136"/>
      <c r="EW12" s="136"/>
      <c r="EX12" s="136"/>
      <c r="EY12" s="136"/>
      <c r="EZ12" s="136"/>
      <c r="FA12" s="136"/>
      <c r="FB12" s="136"/>
      <c r="FC12" s="136"/>
      <c r="FD12" s="136"/>
      <c r="FE12" s="136"/>
      <c r="FF12" s="136"/>
      <c r="FG12" s="136"/>
      <c r="FH12" s="136"/>
      <c r="FI12" s="136"/>
      <c r="FJ12" s="136"/>
      <c r="FK12" s="136"/>
      <c r="FL12" s="136"/>
      <c r="FM12" s="136"/>
      <c r="FN12" s="136"/>
      <c r="FO12" s="136"/>
      <c r="FP12" s="136"/>
      <c r="FQ12" s="136"/>
      <c r="FR12" s="136"/>
      <c r="FS12" s="136"/>
      <c r="FT12" s="136"/>
      <c r="FU12" s="136"/>
      <c r="FV12" s="137"/>
    </row>
    <row r="13" spans="2:178" x14ac:dyDescent="0.3">
      <c r="B13" s="65" t="str">
        <f>Calculations!D31</f>
        <v>Activity 3</v>
      </c>
      <c r="C13" s="66">
        <f>Calculations!F31</f>
        <v>14</v>
      </c>
      <c r="D13" s="67">
        <f>Calculations!G31</f>
        <v>0.51</v>
      </c>
      <c r="E13" s="68">
        <f>IFERROR(Calculations!I31/Calculations!H31,"")</f>
        <v>6.5500000000000003E-2</v>
      </c>
      <c r="F13" s="109">
        <f>Calculations!E31</f>
        <v>40820</v>
      </c>
      <c r="G13" s="109">
        <f t="shared" si="56"/>
        <v>40840</v>
      </c>
      <c r="H13" s="124"/>
      <c r="I13" s="4"/>
      <c r="J13" s="4"/>
      <c r="K13" s="4"/>
      <c r="L13" s="125"/>
      <c r="R13" s="124"/>
      <c r="S13" s="4"/>
      <c r="T13" s="4"/>
      <c r="U13" s="4"/>
      <c r="V13" s="125"/>
      <c r="AB13" s="124"/>
      <c r="AC13" s="4"/>
      <c r="AD13" s="4"/>
      <c r="AE13" s="4"/>
      <c r="AF13" s="125"/>
      <c r="AL13" s="124"/>
      <c r="AM13" s="4"/>
      <c r="AN13" s="4"/>
      <c r="AO13" s="4"/>
      <c r="AP13" s="125"/>
      <c r="AV13" s="124"/>
      <c r="AW13" s="4"/>
      <c r="AX13" s="4"/>
      <c r="AY13" s="4"/>
      <c r="AZ13" s="125"/>
      <c r="BF13" s="124"/>
      <c r="BG13" s="4"/>
      <c r="BH13" s="4"/>
      <c r="BI13" s="4"/>
      <c r="BJ13" s="125"/>
      <c r="BP13" s="124"/>
      <c r="BQ13" s="4"/>
      <c r="BR13" s="4"/>
      <c r="BS13" s="4"/>
      <c r="BT13" s="125"/>
      <c r="BZ13" s="124"/>
      <c r="CA13" s="4"/>
      <c r="CB13" s="4"/>
      <c r="CC13" s="4"/>
      <c r="CD13" s="125"/>
      <c r="CJ13" s="124"/>
      <c r="CK13" s="4"/>
      <c r="CL13" s="4"/>
      <c r="CM13" s="4"/>
      <c r="CN13" s="125"/>
      <c r="CO13" s="124"/>
      <c r="CP13" s="4"/>
      <c r="CQ13" s="4"/>
      <c r="CR13" s="4"/>
      <c r="CS13" s="125"/>
      <c r="CU13" s="13">
        <f t="shared" si="57"/>
        <v>40819</v>
      </c>
      <c r="CV13" s="13">
        <f t="shared" si="58"/>
        <v>40840</v>
      </c>
      <c r="CX13" s="65" t="str">
        <f t="shared" si="41"/>
        <v>Activity 3</v>
      </c>
      <c r="CY13" s="66">
        <f t="shared" si="42"/>
        <v>14</v>
      </c>
      <c r="CZ13" s="67">
        <f t="shared" si="43"/>
        <v>0.51</v>
      </c>
      <c r="DA13" s="68">
        <f t="shared" si="44"/>
        <v>6.5500000000000003E-2</v>
      </c>
      <c r="DB13" s="109">
        <f t="shared" si="45"/>
        <v>40820</v>
      </c>
      <c r="DC13" s="109">
        <f t="shared" si="59"/>
        <v>40840</v>
      </c>
      <c r="DD13" s="115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6"/>
      <c r="DR13" s="116"/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7"/>
      <c r="EJ13" s="13">
        <f t="shared" si="60"/>
        <v>40817</v>
      </c>
      <c r="EK13" s="13">
        <f t="shared" si="61"/>
        <v>40817</v>
      </c>
      <c r="EM13" s="65" t="str">
        <f t="shared" si="49"/>
        <v>Activity 3</v>
      </c>
      <c r="EN13" s="66">
        <f t="shared" si="50"/>
        <v>14</v>
      </c>
      <c r="EO13" s="67">
        <f t="shared" si="51"/>
        <v>0.51</v>
      </c>
      <c r="EP13" s="68">
        <f t="shared" si="52"/>
        <v>6.5500000000000003E-2</v>
      </c>
      <c r="EQ13" s="109">
        <f t="shared" si="53"/>
        <v>40820</v>
      </c>
      <c r="ER13" s="109">
        <f t="shared" si="54"/>
        <v>40840</v>
      </c>
      <c r="ES13" s="132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4"/>
    </row>
    <row r="14" spans="2:178" x14ac:dyDescent="0.3">
      <c r="B14" s="69" t="str">
        <f>Calculations!D32</f>
        <v>Activity 4</v>
      </c>
      <c r="C14" s="70">
        <f>Calculations!F32</f>
        <v>14</v>
      </c>
      <c r="D14" s="71">
        <f>Calculations!G32</f>
        <v>0</v>
      </c>
      <c r="E14" s="72">
        <f>IFERROR(Calculations!I32/Calculations!H32,"")</f>
        <v>0</v>
      </c>
      <c r="F14" s="110">
        <f>Calculations!E32</f>
        <v>40833</v>
      </c>
      <c r="G14" s="110">
        <f t="shared" si="56"/>
        <v>40851</v>
      </c>
      <c r="H14" s="126"/>
      <c r="I14" s="127"/>
      <c r="J14" s="127"/>
      <c r="K14" s="127"/>
      <c r="L14" s="128"/>
      <c r="M14" s="127"/>
      <c r="N14" s="127"/>
      <c r="O14" s="127"/>
      <c r="P14" s="127"/>
      <c r="Q14" s="127"/>
      <c r="R14" s="126"/>
      <c r="S14" s="127"/>
      <c r="T14" s="127"/>
      <c r="U14" s="127"/>
      <c r="V14" s="128"/>
      <c r="W14" s="127"/>
      <c r="X14" s="127"/>
      <c r="Y14" s="127"/>
      <c r="Z14" s="127"/>
      <c r="AA14" s="127"/>
      <c r="AB14" s="126"/>
      <c r="AC14" s="127"/>
      <c r="AD14" s="127"/>
      <c r="AE14" s="127"/>
      <c r="AF14" s="128"/>
      <c r="AG14" s="127"/>
      <c r="AH14" s="127"/>
      <c r="AI14" s="127"/>
      <c r="AJ14" s="127"/>
      <c r="AK14" s="127"/>
      <c r="AL14" s="126"/>
      <c r="AM14" s="127"/>
      <c r="AN14" s="127"/>
      <c r="AO14" s="127"/>
      <c r="AP14" s="128"/>
      <c r="AQ14" s="127"/>
      <c r="AR14" s="127"/>
      <c r="AS14" s="127"/>
      <c r="AT14" s="127"/>
      <c r="AU14" s="127"/>
      <c r="AV14" s="126"/>
      <c r="AW14" s="127"/>
      <c r="AX14" s="127"/>
      <c r="AY14" s="127"/>
      <c r="AZ14" s="128"/>
      <c r="BA14" s="127"/>
      <c r="BB14" s="127"/>
      <c r="BC14" s="127"/>
      <c r="BD14" s="127"/>
      <c r="BE14" s="127"/>
      <c r="BF14" s="126"/>
      <c r="BG14" s="127"/>
      <c r="BH14" s="127"/>
      <c r="BI14" s="127"/>
      <c r="BJ14" s="128"/>
      <c r="BK14" s="127"/>
      <c r="BL14" s="127"/>
      <c r="BM14" s="127"/>
      <c r="BN14" s="127"/>
      <c r="BO14" s="127"/>
      <c r="BP14" s="126"/>
      <c r="BQ14" s="127"/>
      <c r="BR14" s="127"/>
      <c r="BS14" s="127"/>
      <c r="BT14" s="128"/>
      <c r="BU14" s="127"/>
      <c r="BV14" s="127"/>
      <c r="BW14" s="127"/>
      <c r="BX14" s="127"/>
      <c r="BY14" s="127"/>
      <c r="BZ14" s="126"/>
      <c r="CA14" s="127"/>
      <c r="CB14" s="127"/>
      <c r="CC14" s="127"/>
      <c r="CD14" s="128"/>
      <c r="CE14" s="127"/>
      <c r="CF14" s="127"/>
      <c r="CG14" s="127"/>
      <c r="CH14" s="127"/>
      <c r="CI14" s="127"/>
      <c r="CJ14" s="126"/>
      <c r="CK14" s="127"/>
      <c r="CL14" s="127"/>
      <c r="CM14" s="127"/>
      <c r="CN14" s="128"/>
      <c r="CO14" s="126"/>
      <c r="CP14" s="127"/>
      <c r="CQ14" s="127"/>
      <c r="CR14" s="127"/>
      <c r="CS14" s="128"/>
      <c r="CU14" s="13">
        <f t="shared" si="57"/>
        <v>40833</v>
      </c>
      <c r="CV14" s="13">
        <f t="shared" si="58"/>
        <v>40854</v>
      </c>
      <c r="CX14" s="69" t="str">
        <f t="shared" si="41"/>
        <v>Activity 4</v>
      </c>
      <c r="CY14" s="70">
        <f t="shared" si="42"/>
        <v>14</v>
      </c>
      <c r="CZ14" s="71">
        <f t="shared" si="43"/>
        <v>0</v>
      </c>
      <c r="DA14" s="72">
        <f t="shared" si="44"/>
        <v>0</v>
      </c>
      <c r="DB14" s="110">
        <f t="shared" si="45"/>
        <v>40833</v>
      </c>
      <c r="DC14" s="110">
        <f t="shared" si="59"/>
        <v>40851</v>
      </c>
      <c r="DD14" s="118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19"/>
      <c r="DR14" s="119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20"/>
      <c r="EJ14" s="13">
        <f t="shared" si="60"/>
        <v>40817</v>
      </c>
      <c r="EK14" s="13">
        <f t="shared" si="61"/>
        <v>40848</v>
      </c>
      <c r="EM14" s="69" t="str">
        <f t="shared" si="49"/>
        <v>Activity 4</v>
      </c>
      <c r="EN14" s="70">
        <f t="shared" si="50"/>
        <v>14</v>
      </c>
      <c r="EO14" s="71">
        <f t="shared" si="51"/>
        <v>0</v>
      </c>
      <c r="EP14" s="72">
        <f t="shared" si="52"/>
        <v>0</v>
      </c>
      <c r="EQ14" s="110">
        <f t="shared" si="53"/>
        <v>40833</v>
      </c>
      <c r="ER14" s="110">
        <f t="shared" si="54"/>
        <v>40851</v>
      </c>
      <c r="ES14" s="135"/>
      <c r="ET14" s="136"/>
      <c r="EU14" s="136"/>
      <c r="EV14" s="136"/>
      <c r="EW14" s="136"/>
      <c r="EX14" s="136"/>
      <c r="EY14" s="136"/>
      <c r="EZ14" s="136"/>
      <c r="FA14" s="136"/>
      <c r="FB14" s="136"/>
      <c r="FC14" s="136"/>
      <c r="FD14" s="136"/>
      <c r="FE14" s="136"/>
      <c r="FF14" s="136"/>
      <c r="FG14" s="136"/>
      <c r="FH14" s="136"/>
      <c r="FI14" s="136"/>
      <c r="FJ14" s="136"/>
      <c r="FK14" s="136"/>
      <c r="FL14" s="136"/>
      <c r="FM14" s="136"/>
      <c r="FN14" s="136"/>
      <c r="FO14" s="136"/>
      <c r="FP14" s="136"/>
      <c r="FQ14" s="136"/>
      <c r="FR14" s="136"/>
      <c r="FS14" s="136"/>
      <c r="FT14" s="136"/>
      <c r="FU14" s="136"/>
      <c r="FV14" s="137"/>
    </row>
    <row r="15" spans="2:178" x14ac:dyDescent="0.3">
      <c r="B15" s="65" t="str">
        <f>Calculations!D33</f>
        <v>Activity 5</v>
      </c>
      <c r="C15" s="66">
        <f>Calculations!F33</f>
        <v>14</v>
      </c>
      <c r="D15" s="67">
        <f>Calculations!G33</f>
        <v>0.68</v>
      </c>
      <c r="E15" s="68">
        <f>IFERROR(Calculations!I33/Calculations!H33,"")</f>
        <v>0.59933333333333338</v>
      </c>
      <c r="F15" s="109">
        <f>Calculations!E33</f>
        <v>40843</v>
      </c>
      <c r="G15" s="109">
        <f t="shared" si="56"/>
        <v>40863</v>
      </c>
      <c r="H15" s="124"/>
      <c r="I15" s="4"/>
      <c r="J15" s="4"/>
      <c r="K15" s="4"/>
      <c r="L15" s="125"/>
      <c r="R15" s="124"/>
      <c r="S15" s="4"/>
      <c r="T15" s="4"/>
      <c r="U15" s="4"/>
      <c r="V15" s="125"/>
      <c r="AB15" s="124"/>
      <c r="AC15" s="4"/>
      <c r="AD15" s="4"/>
      <c r="AE15" s="4"/>
      <c r="AF15" s="125"/>
      <c r="AL15" s="124"/>
      <c r="AM15" s="4"/>
      <c r="AN15" s="4"/>
      <c r="AO15" s="4"/>
      <c r="AP15" s="125"/>
      <c r="AV15" s="124"/>
      <c r="AW15" s="4"/>
      <c r="AX15" s="4"/>
      <c r="AY15" s="4"/>
      <c r="AZ15" s="125"/>
      <c r="BF15" s="124"/>
      <c r="BG15" s="4"/>
      <c r="BH15" s="4"/>
      <c r="BI15" s="4"/>
      <c r="BJ15" s="125"/>
      <c r="BP15" s="124"/>
      <c r="BQ15" s="4"/>
      <c r="BR15" s="4"/>
      <c r="BS15" s="4"/>
      <c r="BT15" s="125"/>
      <c r="BZ15" s="124"/>
      <c r="CA15" s="4"/>
      <c r="CB15" s="4"/>
      <c r="CC15" s="4"/>
      <c r="CD15" s="125"/>
      <c r="CJ15" s="124"/>
      <c r="CK15" s="4"/>
      <c r="CL15" s="4"/>
      <c r="CM15" s="4"/>
      <c r="CN15" s="125"/>
      <c r="CO15" s="124"/>
      <c r="CP15" s="4"/>
      <c r="CQ15" s="4"/>
      <c r="CR15" s="4"/>
      <c r="CS15" s="125"/>
      <c r="CU15" s="13">
        <f t="shared" si="57"/>
        <v>40840</v>
      </c>
      <c r="CV15" s="13">
        <f t="shared" si="58"/>
        <v>40868</v>
      </c>
      <c r="CX15" s="65" t="str">
        <f t="shared" si="41"/>
        <v>Activity 5</v>
      </c>
      <c r="CY15" s="66">
        <f t="shared" si="42"/>
        <v>14</v>
      </c>
      <c r="CZ15" s="67">
        <f t="shared" si="43"/>
        <v>0.68</v>
      </c>
      <c r="DA15" s="68">
        <f t="shared" si="44"/>
        <v>0.59933333333333338</v>
      </c>
      <c r="DB15" s="109">
        <f t="shared" si="45"/>
        <v>40843</v>
      </c>
      <c r="DC15" s="109">
        <f t="shared" si="59"/>
        <v>40863</v>
      </c>
      <c r="DD15" s="115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6"/>
      <c r="DR15" s="116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7"/>
      <c r="EJ15" s="13">
        <f t="shared" si="60"/>
        <v>40817</v>
      </c>
      <c r="EK15" s="13">
        <f t="shared" si="61"/>
        <v>40848</v>
      </c>
      <c r="EM15" s="65" t="str">
        <f t="shared" si="49"/>
        <v>Activity 5</v>
      </c>
      <c r="EN15" s="66">
        <f t="shared" si="50"/>
        <v>14</v>
      </c>
      <c r="EO15" s="67">
        <f t="shared" si="51"/>
        <v>0.68</v>
      </c>
      <c r="EP15" s="68">
        <f t="shared" si="52"/>
        <v>0.59933333333333338</v>
      </c>
      <c r="EQ15" s="109">
        <f t="shared" si="53"/>
        <v>40843</v>
      </c>
      <c r="ER15" s="109">
        <f t="shared" si="54"/>
        <v>40863</v>
      </c>
      <c r="ES15" s="132"/>
      <c r="ET15" s="133"/>
      <c r="EU15" s="133"/>
      <c r="EV15" s="133"/>
      <c r="EW15" s="133"/>
      <c r="EX15" s="133"/>
      <c r="EY15" s="133"/>
      <c r="EZ15" s="133"/>
      <c r="FA15" s="133"/>
      <c r="FB15" s="133"/>
      <c r="FC15" s="133"/>
      <c r="FD15" s="133"/>
      <c r="FE15" s="133"/>
      <c r="FF15" s="133"/>
      <c r="FG15" s="133"/>
      <c r="FH15" s="133"/>
      <c r="FI15" s="133"/>
      <c r="FJ15" s="133"/>
      <c r="FK15" s="133"/>
      <c r="FL15" s="133"/>
      <c r="FM15" s="133"/>
      <c r="FN15" s="133"/>
      <c r="FO15" s="133"/>
      <c r="FP15" s="133"/>
      <c r="FQ15" s="133"/>
      <c r="FR15" s="133"/>
      <c r="FS15" s="133"/>
      <c r="FT15" s="133"/>
      <c r="FU15" s="133"/>
      <c r="FV15" s="134"/>
    </row>
    <row r="16" spans="2:178" x14ac:dyDescent="0.3">
      <c r="B16" s="69" t="str">
        <f>Calculations!D34</f>
        <v>Activity 6</v>
      </c>
      <c r="C16" s="70">
        <f>Calculations!F34</f>
        <v>14</v>
      </c>
      <c r="D16" s="71">
        <f>Calculations!G34</f>
        <v>0</v>
      </c>
      <c r="E16" s="72">
        <f>IFERROR(Calculations!I34/Calculations!H34,"")</f>
        <v>0</v>
      </c>
      <c r="F16" s="110">
        <f>Calculations!E34</f>
        <v>40855</v>
      </c>
      <c r="G16" s="110">
        <f t="shared" si="56"/>
        <v>40875</v>
      </c>
      <c r="H16" s="126"/>
      <c r="I16" s="127"/>
      <c r="J16" s="127"/>
      <c r="K16" s="127"/>
      <c r="L16" s="128"/>
      <c r="M16" s="127"/>
      <c r="N16" s="127"/>
      <c r="O16" s="127"/>
      <c r="P16" s="127"/>
      <c r="Q16" s="127"/>
      <c r="R16" s="126"/>
      <c r="S16" s="127"/>
      <c r="T16" s="127"/>
      <c r="U16" s="127"/>
      <c r="V16" s="128"/>
      <c r="W16" s="127"/>
      <c r="X16" s="127"/>
      <c r="Y16" s="127"/>
      <c r="Z16" s="127"/>
      <c r="AA16" s="127"/>
      <c r="AB16" s="126"/>
      <c r="AC16" s="127"/>
      <c r="AD16" s="127"/>
      <c r="AE16" s="127"/>
      <c r="AF16" s="128"/>
      <c r="AG16" s="127"/>
      <c r="AH16" s="127"/>
      <c r="AI16" s="127"/>
      <c r="AJ16" s="127"/>
      <c r="AK16" s="127"/>
      <c r="AL16" s="126"/>
      <c r="AM16" s="127"/>
      <c r="AN16" s="127"/>
      <c r="AO16" s="127"/>
      <c r="AP16" s="128"/>
      <c r="AQ16" s="127"/>
      <c r="AR16" s="127"/>
      <c r="AS16" s="127"/>
      <c r="AT16" s="127"/>
      <c r="AU16" s="127"/>
      <c r="AV16" s="126"/>
      <c r="AW16" s="127"/>
      <c r="AX16" s="127"/>
      <c r="AY16" s="127"/>
      <c r="AZ16" s="128"/>
      <c r="BA16" s="127"/>
      <c r="BB16" s="127"/>
      <c r="BC16" s="127"/>
      <c r="BD16" s="127"/>
      <c r="BE16" s="127"/>
      <c r="BF16" s="126"/>
      <c r="BG16" s="127"/>
      <c r="BH16" s="127"/>
      <c r="BI16" s="127"/>
      <c r="BJ16" s="128"/>
      <c r="BK16" s="127"/>
      <c r="BL16" s="127"/>
      <c r="BM16" s="127"/>
      <c r="BN16" s="127"/>
      <c r="BO16" s="127"/>
      <c r="BP16" s="126"/>
      <c r="BQ16" s="127"/>
      <c r="BR16" s="127"/>
      <c r="BS16" s="127"/>
      <c r="BT16" s="128"/>
      <c r="BU16" s="127"/>
      <c r="BV16" s="127"/>
      <c r="BW16" s="127"/>
      <c r="BX16" s="127"/>
      <c r="BY16" s="127"/>
      <c r="BZ16" s="126"/>
      <c r="CA16" s="127"/>
      <c r="CB16" s="127"/>
      <c r="CC16" s="127"/>
      <c r="CD16" s="128"/>
      <c r="CE16" s="127"/>
      <c r="CF16" s="127"/>
      <c r="CG16" s="127"/>
      <c r="CH16" s="127"/>
      <c r="CI16" s="127"/>
      <c r="CJ16" s="126"/>
      <c r="CK16" s="127"/>
      <c r="CL16" s="127"/>
      <c r="CM16" s="127"/>
      <c r="CN16" s="128"/>
      <c r="CO16" s="126"/>
      <c r="CP16" s="127"/>
      <c r="CQ16" s="127"/>
      <c r="CR16" s="127"/>
      <c r="CS16" s="128"/>
      <c r="CU16" s="13">
        <f t="shared" si="57"/>
        <v>40854</v>
      </c>
      <c r="CV16" s="13">
        <f t="shared" si="58"/>
        <v>40875</v>
      </c>
      <c r="CX16" s="69" t="str">
        <f t="shared" si="41"/>
        <v>Activity 6</v>
      </c>
      <c r="CY16" s="70">
        <f t="shared" si="42"/>
        <v>14</v>
      </c>
      <c r="CZ16" s="71">
        <f t="shared" si="43"/>
        <v>0</v>
      </c>
      <c r="DA16" s="72">
        <f t="shared" si="44"/>
        <v>0</v>
      </c>
      <c r="DB16" s="110">
        <f t="shared" si="45"/>
        <v>40855</v>
      </c>
      <c r="DC16" s="110">
        <f t="shared" si="59"/>
        <v>40875</v>
      </c>
      <c r="DD16" s="118"/>
      <c r="DE16" s="119"/>
      <c r="DF16" s="119"/>
      <c r="DG16" s="119"/>
      <c r="DH16" s="119"/>
      <c r="DI16" s="119"/>
      <c r="DJ16" s="119"/>
      <c r="DK16" s="119"/>
      <c r="DL16" s="119"/>
      <c r="DM16" s="119"/>
      <c r="DN16" s="119"/>
      <c r="DO16" s="119"/>
      <c r="DP16" s="119"/>
      <c r="DQ16" s="119"/>
      <c r="DR16" s="119"/>
      <c r="DS16" s="119"/>
      <c r="DT16" s="119"/>
      <c r="DU16" s="119"/>
      <c r="DV16" s="119"/>
      <c r="DW16" s="119"/>
      <c r="DX16" s="119"/>
      <c r="DY16" s="119"/>
      <c r="DZ16" s="119"/>
      <c r="EA16" s="119"/>
      <c r="EB16" s="119"/>
      <c r="EC16" s="119"/>
      <c r="ED16" s="119"/>
      <c r="EE16" s="119"/>
      <c r="EF16" s="119"/>
      <c r="EG16" s="120"/>
      <c r="EJ16" s="13">
        <f t="shared" si="60"/>
        <v>40848</v>
      </c>
      <c r="EK16" s="13">
        <f t="shared" si="61"/>
        <v>40848</v>
      </c>
      <c r="EM16" s="69" t="str">
        <f t="shared" si="49"/>
        <v>Activity 6</v>
      </c>
      <c r="EN16" s="70">
        <f t="shared" si="50"/>
        <v>14</v>
      </c>
      <c r="EO16" s="71">
        <f t="shared" si="51"/>
        <v>0</v>
      </c>
      <c r="EP16" s="72">
        <f t="shared" si="52"/>
        <v>0</v>
      </c>
      <c r="EQ16" s="110">
        <f t="shared" si="53"/>
        <v>40855</v>
      </c>
      <c r="ER16" s="110">
        <f t="shared" si="54"/>
        <v>40875</v>
      </c>
      <c r="ES16" s="135"/>
      <c r="ET16" s="136"/>
      <c r="EU16" s="136"/>
      <c r="EV16" s="136"/>
      <c r="EW16" s="136"/>
      <c r="EX16" s="136"/>
      <c r="EY16" s="136"/>
      <c r="EZ16" s="136"/>
      <c r="FA16" s="136"/>
      <c r="FB16" s="136"/>
      <c r="FC16" s="136"/>
      <c r="FD16" s="136"/>
      <c r="FE16" s="136"/>
      <c r="FF16" s="136"/>
      <c r="FG16" s="136"/>
      <c r="FH16" s="136"/>
      <c r="FI16" s="136"/>
      <c r="FJ16" s="136"/>
      <c r="FK16" s="136"/>
      <c r="FL16" s="136"/>
      <c r="FM16" s="136"/>
      <c r="FN16" s="136"/>
      <c r="FO16" s="136"/>
      <c r="FP16" s="136"/>
      <c r="FQ16" s="136"/>
      <c r="FR16" s="136"/>
      <c r="FS16" s="136"/>
      <c r="FT16" s="136"/>
      <c r="FU16" s="136"/>
      <c r="FV16" s="137"/>
    </row>
    <row r="17" spans="2:178" x14ac:dyDescent="0.3">
      <c r="B17" s="65" t="str">
        <f>Calculations!D35</f>
        <v>Activity 7</v>
      </c>
      <c r="C17" s="66">
        <f>Calculations!F35</f>
        <v>14</v>
      </c>
      <c r="D17" s="67">
        <f>Calculations!G35</f>
        <v>0</v>
      </c>
      <c r="E17" s="68">
        <f>IFERROR(Calculations!I35/Calculations!H35,"")</f>
        <v>0</v>
      </c>
      <c r="F17" s="109">
        <f>Calculations!E35</f>
        <v>40870</v>
      </c>
      <c r="G17" s="109">
        <f t="shared" si="56"/>
        <v>40890</v>
      </c>
      <c r="H17" s="124"/>
      <c r="I17" s="4"/>
      <c r="J17" s="4"/>
      <c r="K17" s="4"/>
      <c r="L17" s="125"/>
      <c r="R17" s="124"/>
      <c r="S17" s="4"/>
      <c r="T17" s="4"/>
      <c r="U17" s="4"/>
      <c r="V17" s="125"/>
      <c r="AB17" s="124"/>
      <c r="AC17" s="4"/>
      <c r="AD17" s="4"/>
      <c r="AE17" s="4"/>
      <c r="AF17" s="125"/>
      <c r="AL17" s="124"/>
      <c r="AM17" s="4"/>
      <c r="AN17" s="4"/>
      <c r="AO17" s="4"/>
      <c r="AP17" s="125"/>
      <c r="AV17" s="124"/>
      <c r="AW17" s="4"/>
      <c r="AX17" s="4"/>
      <c r="AY17" s="4"/>
      <c r="AZ17" s="125"/>
      <c r="BF17" s="124"/>
      <c r="BG17" s="4"/>
      <c r="BH17" s="4"/>
      <c r="BI17" s="4"/>
      <c r="BJ17" s="125"/>
      <c r="BP17" s="124"/>
      <c r="BQ17" s="4"/>
      <c r="BR17" s="4"/>
      <c r="BS17" s="4"/>
      <c r="BT17" s="125"/>
      <c r="BZ17" s="124"/>
      <c r="CA17" s="4"/>
      <c r="CB17" s="4"/>
      <c r="CC17" s="4"/>
      <c r="CD17" s="125"/>
      <c r="CJ17" s="124"/>
      <c r="CK17" s="4"/>
      <c r="CL17" s="4"/>
      <c r="CM17" s="4"/>
      <c r="CN17" s="125"/>
      <c r="CO17" s="124"/>
      <c r="CP17" s="4"/>
      <c r="CQ17" s="4"/>
      <c r="CR17" s="4"/>
      <c r="CS17" s="125"/>
      <c r="CU17" s="13">
        <f t="shared" si="57"/>
        <v>40868</v>
      </c>
      <c r="CV17" s="13">
        <f t="shared" si="58"/>
        <v>40896</v>
      </c>
      <c r="CX17" s="65" t="str">
        <f t="shared" si="41"/>
        <v>Activity 7</v>
      </c>
      <c r="CY17" s="66">
        <f t="shared" si="42"/>
        <v>14</v>
      </c>
      <c r="CZ17" s="67">
        <f t="shared" si="43"/>
        <v>0</v>
      </c>
      <c r="DA17" s="68">
        <f t="shared" si="44"/>
        <v>0</v>
      </c>
      <c r="DB17" s="109">
        <f t="shared" si="45"/>
        <v>40870</v>
      </c>
      <c r="DC17" s="109">
        <f t="shared" si="59"/>
        <v>40890</v>
      </c>
      <c r="DD17" s="115"/>
      <c r="DE17" s="116"/>
      <c r="DF17" s="116"/>
      <c r="DG17" s="116"/>
      <c r="DH17" s="116"/>
      <c r="DI17" s="116"/>
      <c r="DJ17" s="116"/>
      <c r="DK17" s="116"/>
      <c r="DL17" s="116"/>
      <c r="DM17" s="116"/>
      <c r="DN17" s="116"/>
      <c r="DO17" s="116"/>
      <c r="DP17" s="116"/>
      <c r="DQ17" s="116"/>
      <c r="DR17" s="116"/>
      <c r="DS17" s="116"/>
      <c r="DT17" s="116"/>
      <c r="DU17" s="116"/>
      <c r="DV17" s="116"/>
      <c r="DW17" s="116"/>
      <c r="DX17" s="116"/>
      <c r="DY17" s="116"/>
      <c r="DZ17" s="116"/>
      <c r="EA17" s="116"/>
      <c r="EB17" s="116"/>
      <c r="EC17" s="116"/>
      <c r="ED17" s="116"/>
      <c r="EE17" s="116"/>
      <c r="EF17" s="116"/>
      <c r="EG17" s="117"/>
      <c r="EJ17" s="13">
        <f t="shared" si="60"/>
        <v>40848</v>
      </c>
      <c r="EK17" s="13">
        <f t="shared" si="61"/>
        <v>40878</v>
      </c>
      <c r="EM17" s="65" t="str">
        <f t="shared" si="49"/>
        <v>Activity 7</v>
      </c>
      <c r="EN17" s="66">
        <f t="shared" si="50"/>
        <v>14</v>
      </c>
      <c r="EO17" s="67">
        <f t="shared" si="51"/>
        <v>0</v>
      </c>
      <c r="EP17" s="68">
        <f t="shared" si="52"/>
        <v>0</v>
      </c>
      <c r="EQ17" s="109">
        <f t="shared" si="53"/>
        <v>40870</v>
      </c>
      <c r="ER17" s="109">
        <f t="shared" si="54"/>
        <v>40890</v>
      </c>
      <c r="ES17" s="132"/>
      <c r="ET17" s="133"/>
      <c r="EU17" s="133"/>
      <c r="EV17" s="133"/>
      <c r="EW17" s="133"/>
      <c r="EX17" s="133"/>
      <c r="EY17" s="133"/>
      <c r="EZ17" s="133"/>
      <c r="FA17" s="133"/>
      <c r="FB17" s="133"/>
      <c r="FC17" s="133"/>
      <c r="FD17" s="133"/>
      <c r="FE17" s="133"/>
      <c r="FF17" s="133"/>
      <c r="FG17" s="133"/>
      <c r="FH17" s="133"/>
      <c r="FI17" s="133"/>
      <c r="FJ17" s="133"/>
      <c r="FK17" s="133"/>
      <c r="FL17" s="133"/>
      <c r="FM17" s="133"/>
      <c r="FN17" s="133"/>
      <c r="FO17" s="133"/>
      <c r="FP17" s="133"/>
      <c r="FQ17" s="133"/>
      <c r="FR17" s="133"/>
      <c r="FS17" s="133"/>
      <c r="FT17" s="133"/>
      <c r="FU17" s="133"/>
      <c r="FV17" s="134"/>
    </row>
    <row r="18" spans="2:178" x14ac:dyDescent="0.3">
      <c r="B18" s="69" t="str">
        <f>Calculations!D36</f>
        <v>Activity 8</v>
      </c>
      <c r="C18" s="70">
        <f>Calculations!F36</f>
        <v>7</v>
      </c>
      <c r="D18" s="71">
        <f>Calculations!G36</f>
        <v>0.03</v>
      </c>
      <c r="E18" s="72">
        <f>IFERROR(Calculations!I36/Calculations!H36,"")</f>
        <v>2.7E-2</v>
      </c>
      <c r="F18" s="110">
        <f>Calculations!E36</f>
        <v>40883</v>
      </c>
      <c r="G18" s="110">
        <f t="shared" si="56"/>
        <v>40892</v>
      </c>
      <c r="H18" s="126"/>
      <c r="I18" s="127"/>
      <c r="J18" s="127"/>
      <c r="K18" s="127"/>
      <c r="L18" s="128"/>
      <c r="M18" s="127"/>
      <c r="N18" s="127"/>
      <c r="O18" s="127"/>
      <c r="P18" s="127"/>
      <c r="Q18" s="127"/>
      <c r="R18" s="126"/>
      <c r="S18" s="127"/>
      <c r="T18" s="127"/>
      <c r="U18" s="127"/>
      <c r="V18" s="128"/>
      <c r="W18" s="127"/>
      <c r="X18" s="127"/>
      <c r="Y18" s="127"/>
      <c r="Z18" s="127"/>
      <c r="AA18" s="127"/>
      <c r="AB18" s="126"/>
      <c r="AC18" s="127"/>
      <c r="AD18" s="127"/>
      <c r="AE18" s="127"/>
      <c r="AF18" s="128"/>
      <c r="AG18" s="127"/>
      <c r="AH18" s="127"/>
      <c r="AI18" s="127"/>
      <c r="AJ18" s="127"/>
      <c r="AK18" s="127"/>
      <c r="AL18" s="126"/>
      <c r="AM18" s="127"/>
      <c r="AN18" s="127"/>
      <c r="AO18" s="127"/>
      <c r="AP18" s="128"/>
      <c r="AQ18" s="127"/>
      <c r="AR18" s="127"/>
      <c r="AS18" s="127"/>
      <c r="AT18" s="127"/>
      <c r="AU18" s="127"/>
      <c r="AV18" s="126"/>
      <c r="AW18" s="127"/>
      <c r="AX18" s="127"/>
      <c r="AY18" s="127"/>
      <c r="AZ18" s="128"/>
      <c r="BA18" s="127"/>
      <c r="BB18" s="127"/>
      <c r="BC18" s="127"/>
      <c r="BD18" s="127"/>
      <c r="BE18" s="127"/>
      <c r="BF18" s="126"/>
      <c r="BG18" s="127"/>
      <c r="BH18" s="127"/>
      <c r="BI18" s="127"/>
      <c r="BJ18" s="128"/>
      <c r="BK18" s="127"/>
      <c r="BL18" s="127"/>
      <c r="BM18" s="127"/>
      <c r="BN18" s="127"/>
      <c r="BO18" s="127"/>
      <c r="BP18" s="126"/>
      <c r="BQ18" s="127"/>
      <c r="BR18" s="127"/>
      <c r="BS18" s="127"/>
      <c r="BT18" s="128"/>
      <c r="BU18" s="127"/>
      <c r="BV18" s="127"/>
      <c r="BW18" s="127"/>
      <c r="BX18" s="127"/>
      <c r="BY18" s="127"/>
      <c r="BZ18" s="126"/>
      <c r="CA18" s="127"/>
      <c r="CB18" s="127"/>
      <c r="CC18" s="127"/>
      <c r="CD18" s="128"/>
      <c r="CE18" s="127"/>
      <c r="CF18" s="127"/>
      <c r="CG18" s="127"/>
      <c r="CH18" s="127"/>
      <c r="CI18" s="127"/>
      <c r="CJ18" s="126"/>
      <c r="CK18" s="127"/>
      <c r="CL18" s="127"/>
      <c r="CM18" s="127"/>
      <c r="CN18" s="128"/>
      <c r="CO18" s="126"/>
      <c r="CP18" s="127"/>
      <c r="CQ18" s="127"/>
      <c r="CR18" s="127"/>
      <c r="CS18" s="128"/>
      <c r="CU18" s="13">
        <f t="shared" si="57"/>
        <v>40882</v>
      </c>
      <c r="CV18" s="13">
        <f t="shared" si="58"/>
        <v>40896</v>
      </c>
      <c r="CX18" s="69" t="str">
        <f t="shared" si="41"/>
        <v>Activity 8</v>
      </c>
      <c r="CY18" s="70">
        <f t="shared" si="42"/>
        <v>7</v>
      </c>
      <c r="CZ18" s="71">
        <f t="shared" si="43"/>
        <v>0.03</v>
      </c>
      <c r="DA18" s="72">
        <f t="shared" si="44"/>
        <v>2.7E-2</v>
      </c>
      <c r="DB18" s="110">
        <f t="shared" si="45"/>
        <v>40883</v>
      </c>
      <c r="DC18" s="110">
        <f t="shared" si="59"/>
        <v>40892</v>
      </c>
      <c r="DD18" s="118"/>
      <c r="DE18" s="119"/>
      <c r="DF18" s="119"/>
      <c r="DG18" s="119"/>
      <c r="DH18" s="119"/>
      <c r="DI18" s="119"/>
      <c r="DJ18" s="119"/>
      <c r="DK18" s="119"/>
      <c r="DL18" s="119"/>
      <c r="DM18" s="119"/>
      <c r="DN18" s="119"/>
      <c r="DO18" s="119"/>
      <c r="DP18" s="119"/>
      <c r="DQ18" s="119"/>
      <c r="DR18" s="119"/>
      <c r="DS18" s="119"/>
      <c r="DT18" s="119"/>
      <c r="DU18" s="119"/>
      <c r="DV18" s="119"/>
      <c r="DW18" s="119"/>
      <c r="DX18" s="119"/>
      <c r="DY18" s="119"/>
      <c r="DZ18" s="119"/>
      <c r="EA18" s="119"/>
      <c r="EB18" s="119"/>
      <c r="EC18" s="119"/>
      <c r="ED18" s="119"/>
      <c r="EE18" s="119"/>
      <c r="EF18" s="119"/>
      <c r="EG18" s="120"/>
      <c r="EJ18" s="13">
        <f t="shared" si="60"/>
        <v>40878</v>
      </c>
      <c r="EK18" s="13">
        <f t="shared" si="61"/>
        <v>40878</v>
      </c>
      <c r="EM18" s="69" t="str">
        <f t="shared" si="49"/>
        <v>Activity 8</v>
      </c>
      <c r="EN18" s="70">
        <f t="shared" si="50"/>
        <v>7</v>
      </c>
      <c r="EO18" s="71">
        <f t="shared" si="51"/>
        <v>0.03</v>
      </c>
      <c r="EP18" s="72">
        <f t="shared" si="52"/>
        <v>2.7E-2</v>
      </c>
      <c r="EQ18" s="110">
        <f t="shared" si="53"/>
        <v>40883</v>
      </c>
      <c r="ER18" s="110">
        <f t="shared" si="54"/>
        <v>40892</v>
      </c>
      <c r="ES18" s="135"/>
      <c r="ET18" s="136"/>
      <c r="EU18" s="136"/>
      <c r="EV18" s="136"/>
      <c r="EW18" s="136"/>
      <c r="EX18" s="136"/>
      <c r="EY18" s="136"/>
      <c r="EZ18" s="136"/>
      <c r="FA18" s="136"/>
      <c r="FB18" s="136"/>
      <c r="FC18" s="136"/>
      <c r="FD18" s="136"/>
      <c r="FE18" s="136"/>
      <c r="FF18" s="136"/>
      <c r="FG18" s="136"/>
      <c r="FH18" s="136"/>
      <c r="FI18" s="136"/>
      <c r="FJ18" s="136"/>
      <c r="FK18" s="136"/>
      <c r="FL18" s="136"/>
      <c r="FM18" s="136"/>
      <c r="FN18" s="136"/>
      <c r="FO18" s="136"/>
      <c r="FP18" s="136"/>
      <c r="FQ18" s="136"/>
      <c r="FR18" s="136"/>
      <c r="FS18" s="136"/>
      <c r="FT18" s="136"/>
      <c r="FU18" s="136"/>
      <c r="FV18" s="137"/>
    </row>
    <row r="19" spans="2:178" x14ac:dyDescent="0.3">
      <c r="B19" s="65" t="str">
        <f>Calculations!D37</f>
        <v>Activity 9</v>
      </c>
      <c r="C19" s="66">
        <f>Calculations!F37</f>
        <v>21</v>
      </c>
      <c r="D19" s="67">
        <f>Calculations!G37</f>
        <v>0.41</v>
      </c>
      <c r="E19" s="68">
        <f>IFERROR(Calculations!I37/Calculations!H37,"")</f>
        <v>0.216</v>
      </c>
      <c r="F19" s="109">
        <f>Calculations!E37</f>
        <v>40897</v>
      </c>
      <c r="G19" s="109">
        <f t="shared" si="56"/>
        <v>40926</v>
      </c>
      <c r="H19" s="124"/>
      <c r="I19" s="4"/>
      <c r="J19" s="4"/>
      <c r="K19" s="4"/>
      <c r="L19" s="125"/>
      <c r="R19" s="124"/>
      <c r="S19" s="4"/>
      <c r="T19" s="4"/>
      <c r="U19" s="4"/>
      <c r="V19" s="125"/>
      <c r="AB19" s="124"/>
      <c r="AC19" s="4"/>
      <c r="AD19" s="4"/>
      <c r="AE19" s="4"/>
      <c r="AF19" s="125"/>
      <c r="AL19" s="124"/>
      <c r="AM19" s="4"/>
      <c r="AN19" s="4"/>
      <c r="AO19" s="4"/>
      <c r="AP19" s="125"/>
      <c r="AV19" s="124"/>
      <c r="AW19" s="4"/>
      <c r="AX19" s="4"/>
      <c r="AY19" s="4"/>
      <c r="AZ19" s="125"/>
      <c r="BF19" s="124"/>
      <c r="BG19" s="4"/>
      <c r="BH19" s="4"/>
      <c r="BI19" s="4"/>
      <c r="BJ19" s="125"/>
      <c r="BP19" s="124"/>
      <c r="BQ19" s="4"/>
      <c r="BR19" s="4"/>
      <c r="BS19" s="4"/>
      <c r="BT19" s="125"/>
      <c r="BZ19" s="124"/>
      <c r="CA19" s="4"/>
      <c r="CB19" s="4"/>
      <c r="CC19" s="4"/>
      <c r="CD19" s="125"/>
      <c r="CJ19" s="124"/>
      <c r="CK19" s="4"/>
      <c r="CL19" s="4"/>
      <c r="CM19" s="4"/>
      <c r="CN19" s="125"/>
      <c r="CO19" s="124"/>
      <c r="CP19" s="4"/>
      <c r="CQ19" s="4"/>
      <c r="CR19" s="4"/>
      <c r="CS19" s="125"/>
      <c r="CU19" s="13">
        <f t="shared" si="57"/>
        <v>40896</v>
      </c>
      <c r="CV19" s="13">
        <f t="shared" si="58"/>
        <v>40931</v>
      </c>
      <c r="CX19" s="65" t="str">
        <f t="shared" si="41"/>
        <v>Activity 9</v>
      </c>
      <c r="CY19" s="66">
        <f t="shared" si="42"/>
        <v>21</v>
      </c>
      <c r="CZ19" s="67">
        <f t="shared" si="43"/>
        <v>0.41</v>
      </c>
      <c r="DA19" s="68">
        <f t="shared" si="44"/>
        <v>0.216</v>
      </c>
      <c r="DB19" s="109">
        <f t="shared" si="45"/>
        <v>40897</v>
      </c>
      <c r="DC19" s="109">
        <f t="shared" si="59"/>
        <v>40926</v>
      </c>
      <c r="DD19" s="115"/>
      <c r="DE19" s="116"/>
      <c r="DF19" s="116"/>
      <c r="DG19" s="116"/>
      <c r="DH19" s="116"/>
      <c r="DI19" s="116"/>
      <c r="DJ19" s="116"/>
      <c r="DK19" s="116"/>
      <c r="DL19" s="116"/>
      <c r="DM19" s="116"/>
      <c r="DN19" s="116"/>
      <c r="DO19" s="116"/>
      <c r="DP19" s="116"/>
      <c r="DQ19" s="116"/>
      <c r="DR19" s="116"/>
      <c r="DS19" s="116"/>
      <c r="DT19" s="116"/>
      <c r="DU19" s="116"/>
      <c r="DV19" s="116"/>
      <c r="DW19" s="116"/>
      <c r="DX19" s="116"/>
      <c r="DY19" s="116"/>
      <c r="DZ19" s="116"/>
      <c r="EA19" s="116"/>
      <c r="EB19" s="116"/>
      <c r="EC19" s="116"/>
      <c r="ED19" s="116"/>
      <c r="EE19" s="116"/>
      <c r="EF19" s="116"/>
      <c r="EG19" s="117"/>
      <c r="EJ19" s="13">
        <f t="shared" si="60"/>
        <v>40878</v>
      </c>
      <c r="EK19" s="13">
        <f t="shared" si="61"/>
        <v>40909</v>
      </c>
      <c r="EM19" s="65" t="str">
        <f t="shared" si="49"/>
        <v>Activity 9</v>
      </c>
      <c r="EN19" s="66">
        <f t="shared" si="50"/>
        <v>21</v>
      </c>
      <c r="EO19" s="67">
        <f t="shared" si="51"/>
        <v>0.41</v>
      </c>
      <c r="EP19" s="68">
        <f t="shared" si="52"/>
        <v>0.216</v>
      </c>
      <c r="EQ19" s="109">
        <f t="shared" si="53"/>
        <v>40897</v>
      </c>
      <c r="ER19" s="109">
        <f t="shared" si="54"/>
        <v>40926</v>
      </c>
      <c r="ES19" s="132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4"/>
    </row>
    <row r="20" spans="2:178" x14ac:dyDescent="0.3">
      <c r="B20" s="69" t="str">
        <f>Calculations!D38</f>
        <v>Activity 10</v>
      </c>
      <c r="C20" s="70">
        <f>Calculations!F38</f>
        <v>7</v>
      </c>
      <c r="D20" s="71">
        <f>Calculations!G38</f>
        <v>0.4</v>
      </c>
      <c r="E20" s="72">
        <f>IFERROR(Calculations!I38/Calculations!H38,"")</f>
        <v>1.7000000000000001E-2</v>
      </c>
      <c r="F20" s="110">
        <f>Calculations!E38</f>
        <v>40911</v>
      </c>
      <c r="G20" s="110">
        <f t="shared" si="56"/>
        <v>40920</v>
      </c>
      <c r="H20" s="126"/>
      <c r="I20" s="127"/>
      <c r="J20" s="127"/>
      <c r="K20" s="127"/>
      <c r="L20" s="128"/>
      <c r="M20" s="127"/>
      <c r="N20" s="127"/>
      <c r="O20" s="127"/>
      <c r="P20" s="127"/>
      <c r="Q20" s="127"/>
      <c r="R20" s="126"/>
      <c r="S20" s="127"/>
      <c r="T20" s="127"/>
      <c r="U20" s="127"/>
      <c r="V20" s="128"/>
      <c r="W20" s="127"/>
      <c r="X20" s="127"/>
      <c r="Y20" s="127"/>
      <c r="Z20" s="127"/>
      <c r="AA20" s="127"/>
      <c r="AB20" s="126"/>
      <c r="AC20" s="127"/>
      <c r="AD20" s="127"/>
      <c r="AE20" s="127"/>
      <c r="AF20" s="128"/>
      <c r="AG20" s="127"/>
      <c r="AH20" s="127"/>
      <c r="AI20" s="127"/>
      <c r="AJ20" s="127"/>
      <c r="AK20" s="127"/>
      <c r="AL20" s="126"/>
      <c r="AM20" s="127"/>
      <c r="AN20" s="127"/>
      <c r="AO20" s="127"/>
      <c r="AP20" s="128"/>
      <c r="AQ20" s="127"/>
      <c r="AR20" s="127"/>
      <c r="AS20" s="127"/>
      <c r="AT20" s="127"/>
      <c r="AU20" s="127"/>
      <c r="AV20" s="126"/>
      <c r="AW20" s="127"/>
      <c r="AX20" s="127"/>
      <c r="AY20" s="127"/>
      <c r="AZ20" s="128"/>
      <c r="BA20" s="127"/>
      <c r="BB20" s="127"/>
      <c r="BC20" s="127"/>
      <c r="BD20" s="127"/>
      <c r="BE20" s="127"/>
      <c r="BF20" s="126"/>
      <c r="BG20" s="127"/>
      <c r="BH20" s="127"/>
      <c r="BI20" s="127"/>
      <c r="BJ20" s="128"/>
      <c r="BK20" s="127"/>
      <c r="BL20" s="127"/>
      <c r="BM20" s="127"/>
      <c r="BN20" s="127"/>
      <c r="BO20" s="127"/>
      <c r="BP20" s="126"/>
      <c r="BQ20" s="127"/>
      <c r="BR20" s="127"/>
      <c r="BS20" s="127"/>
      <c r="BT20" s="128"/>
      <c r="BU20" s="127"/>
      <c r="BV20" s="127"/>
      <c r="BW20" s="127"/>
      <c r="BX20" s="127"/>
      <c r="BY20" s="127"/>
      <c r="BZ20" s="126"/>
      <c r="CA20" s="127"/>
      <c r="CB20" s="127"/>
      <c r="CC20" s="127"/>
      <c r="CD20" s="128"/>
      <c r="CE20" s="127"/>
      <c r="CF20" s="127"/>
      <c r="CG20" s="127"/>
      <c r="CH20" s="127"/>
      <c r="CI20" s="127"/>
      <c r="CJ20" s="126"/>
      <c r="CK20" s="127"/>
      <c r="CL20" s="127"/>
      <c r="CM20" s="127"/>
      <c r="CN20" s="128"/>
      <c r="CO20" s="126"/>
      <c r="CP20" s="127"/>
      <c r="CQ20" s="127"/>
      <c r="CR20" s="127"/>
      <c r="CS20" s="128"/>
      <c r="CU20" s="13">
        <f t="shared" si="57"/>
        <v>40910</v>
      </c>
      <c r="CV20" s="13">
        <f t="shared" si="58"/>
        <v>40924</v>
      </c>
      <c r="CX20" s="69" t="str">
        <f t="shared" si="41"/>
        <v>Activity 10</v>
      </c>
      <c r="CY20" s="70">
        <f t="shared" si="42"/>
        <v>7</v>
      </c>
      <c r="CZ20" s="71">
        <f t="shared" si="43"/>
        <v>0.4</v>
      </c>
      <c r="DA20" s="72">
        <f t="shared" si="44"/>
        <v>1.7000000000000001E-2</v>
      </c>
      <c r="DB20" s="110">
        <f t="shared" si="45"/>
        <v>40911</v>
      </c>
      <c r="DC20" s="110">
        <f t="shared" si="59"/>
        <v>40920</v>
      </c>
      <c r="DD20" s="118"/>
      <c r="DE20" s="119"/>
      <c r="DF20" s="119"/>
      <c r="DG20" s="119"/>
      <c r="DH20" s="119"/>
      <c r="DI20" s="119"/>
      <c r="DJ20" s="119"/>
      <c r="DK20" s="119"/>
      <c r="DL20" s="119"/>
      <c r="DM20" s="119"/>
      <c r="DN20" s="119"/>
      <c r="DO20" s="119"/>
      <c r="DP20" s="119"/>
      <c r="DQ20" s="119"/>
      <c r="DR20" s="119"/>
      <c r="DS20" s="119"/>
      <c r="DT20" s="119"/>
      <c r="DU20" s="119"/>
      <c r="DV20" s="119"/>
      <c r="DW20" s="119"/>
      <c r="DX20" s="119"/>
      <c r="DY20" s="119"/>
      <c r="DZ20" s="119"/>
      <c r="EA20" s="119"/>
      <c r="EB20" s="119"/>
      <c r="EC20" s="119"/>
      <c r="ED20" s="119"/>
      <c r="EE20" s="119"/>
      <c r="EF20" s="119"/>
      <c r="EG20" s="120"/>
      <c r="EJ20" s="13">
        <f t="shared" si="60"/>
        <v>40909</v>
      </c>
      <c r="EK20" s="13">
        <f t="shared" si="61"/>
        <v>40909</v>
      </c>
      <c r="EM20" s="69" t="str">
        <f t="shared" si="49"/>
        <v>Activity 10</v>
      </c>
      <c r="EN20" s="70">
        <f t="shared" si="50"/>
        <v>7</v>
      </c>
      <c r="EO20" s="71">
        <f t="shared" si="51"/>
        <v>0.4</v>
      </c>
      <c r="EP20" s="72">
        <f t="shared" si="52"/>
        <v>1.7000000000000001E-2</v>
      </c>
      <c r="EQ20" s="110">
        <f t="shared" si="53"/>
        <v>40911</v>
      </c>
      <c r="ER20" s="110">
        <f t="shared" si="54"/>
        <v>40920</v>
      </c>
      <c r="ES20" s="135"/>
      <c r="ET20" s="136"/>
      <c r="EU20" s="136"/>
      <c r="EV20" s="136"/>
      <c r="EW20" s="136"/>
      <c r="EX20" s="136"/>
      <c r="EY20" s="136"/>
      <c r="EZ20" s="136"/>
      <c r="FA20" s="136"/>
      <c r="FB20" s="136"/>
      <c r="FC20" s="136"/>
      <c r="FD20" s="136"/>
      <c r="FE20" s="136"/>
      <c r="FF20" s="136"/>
      <c r="FG20" s="136"/>
      <c r="FH20" s="136"/>
      <c r="FI20" s="136"/>
      <c r="FJ20" s="136"/>
      <c r="FK20" s="136"/>
      <c r="FL20" s="136"/>
      <c r="FM20" s="136"/>
      <c r="FN20" s="136"/>
      <c r="FO20" s="136"/>
      <c r="FP20" s="136"/>
      <c r="FQ20" s="136"/>
      <c r="FR20" s="136"/>
      <c r="FS20" s="136"/>
      <c r="FT20" s="136"/>
      <c r="FU20" s="136"/>
      <c r="FV20" s="137"/>
    </row>
    <row r="21" spans="2:178" x14ac:dyDescent="0.3">
      <c r="B21" s="65" t="str">
        <f>Calculations!D39</f>
        <v>Activity 11</v>
      </c>
      <c r="C21" s="66">
        <f>Calculations!F39</f>
        <v>14</v>
      </c>
      <c r="D21" s="67">
        <f>Calculations!G39</f>
        <v>0.59</v>
      </c>
      <c r="E21" s="68">
        <f>IFERROR(Calculations!I39/Calculations!H39,"")</f>
        <v>0.31759999999999999</v>
      </c>
      <c r="F21" s="109">
        <f>Calculations!E39</f>
        <v>40920</v>
      </c>
      <c r="G21" s="109">
        <f t="shared" si="56"/>
        <v>40940</v>
      </c>
      <c r="H21" s="124"/>
      <c r="I21" s="4"/>
      <c r="J21" s="4"/>
      <c r="K21" s="4"/>
      <c r="L21" s="125"/>
      <c r="R21" s="124"/>
      <c r="S21" s="4"/>
      <c r="T21" s="4"/>
      <c r="U21" s="4"/>
      <c r="V21" s="125"/>
      <c r="AB21" s="124"/>
      <c r="AC21" s="4"/>
      <c r="AD21" s="4"/>
      <c r="AE21" s="4"/>
      <c r="AF21" s="125"/>
      <c r="AL21" s="124"/>
      <c r="AM21" s="4"/>
      <c r="AN21" s="4"/>
      <c r="AO21" s="4"/>
      <c r="AP21" s="125"/>
      <c r="AV21" s="124"/>
      <c r="AW21" s="4"/>
      <c r="AX21" s="4"/>
      <c r="AY21" s="4"/>
      <c r="AZ21" s="125"/>
      <c r="BF21" s="124"/>
      <c r="BG21" s="4"/>
      <c r="BH21" s="4"/>
      <c r="BI21" s="4"/>
      <c r="BJ21" s="125"/>
      <c r="BP21" s="124"/>
      <c r="BQ21" s="4"/>
      <c r="BR21" s="4"/>
      <c r="BS21" s="4"/>
      <c r="BT21" s="125"/>
      <c r="BZ21" s="124"/>
      <c r="CA21" s="4"/>
      <c r="CB21" s="4"/>
      <c r="CC21" s="4"/>
      <c r="CD21" s="125"/>
      <c r="CJ21" s="124"/>
      <c r="CK21" s="4"/>
      <c r="CL21" s="4"/>
      <c r="CM21" s="4"/>
      <c r="CN21" s="125"/>
      <c r="CO21" s="124"/>
      <c r="CP21" s="4"/>
      <c r="CQ21" s="4"/>
      <c r="CR21" s="4"/>
      <c r="CS21" s="125"/>
      <c r="CU21" s="13">
        <f t="shared" si="57"/>
        <v>40917</v>
      </c>
      <c r="CV21" s="13">
        <f t="shared" si="58"/>
        <v>40945</v>
      </c>
      <c r="CX21" s="65" t="str">
        <f t="shared" si="41"/>
        <v>Activity 11</v>
      </c>
      <c r="CY21" s="66">
        <f t="shared" si="42"/>
        <v>14</v>
      </c>
      <c r="CZ21" s="67">
        <f t="shared" si="43"/>
        <v>0.59</v>
      </c>
      <c r="DA21" s="68">
        <f t="shared" si="44"/>
        <v>0.31759999999999999</v>
      </c>
      <c r="DB21" s="109">
        <f t="shared" si="45"/>
        <v>40920</v>
      </c>
      <c r="DC21" s="109">
        <f t="shared" si="59"/>
        <v>40940</v>
      </c>
      <c r="DD21" s="115"/>
      <c r="DE21" s="116"/>
      <c r="DF21" s="116"/>
      <c r="DG21" s="116"/>
      <c r="DH21" s="116"/>
      <c r="DI21" s="116"/>
      <c r="DJ21" s="116"/>
      <c r="DK21" s="116"/>
      <c r="DL21" s="116"/>
      <c r="DM21" s="116"/>
      <c r="DN21" s="116"/>
      <c r="DO21" s="116"/>
      <c r="DP21" s="116"/>
      <c r="DQ21" s="116"/>
      <c r="DR21" s="116"/>
      <c r="DS21" s="116"/>
      <c r="DT21" s="116"/>
      <c r="DU21" s="116"/>
      <c r="DV21" s="116"/>
      <c r="DW21" s="116"/>
      <c r="DX21" s="116"/>
      <c r="DY21" s="116"/>
      <c r="DZ21" s="116"/>
      <c r="EA21" s="116"/>
      <c r="EB21" s="116"/>
      <c r="EC21" s="116"/>
      <c r="ED21" s="116"/>
      <c r="EE21" s="116"/>
      <c r="EF21" s="116"/>
      <c r="EG21" s="117"/>
      <c r="EJ21" s="13">
        <f t="shared" si="60"/>
        <v>40909</v>
      </c>
      <c r="EK21" s="13">
        <f t="shared" si="61"/>
        <v>40940</v>
      </c>
      <c r="EM21" s="65" t="str">
        <f t="shared" si="49"/>
        <v>Activity 11</v>
      </c>
      <c r="EN21" s="66">
        <f t="shared" si="50"/>
        <v>14</v>
      </c>
      <c r="EO21" s="67">
        <f t="shared" si="51"/>
        <v>0.59</v>
      </c>
      <c r="EP21" s="68">
        <f t="shared" si="52"/>
        <v>0.31759999999999999</v>
      </c>
      <c r="EQ21" s="109">
        <f t="shared" si="53"/>
        <v>40920</v>
      </c>
      <c r="ER21" s="109">
        <f t="shared" si="54"/>
        <v>40940</v>
      </c>
      <c r="ES21" s="132"/>
      <c r="ET21" s="133"/>
      <c r="EU21" s="133"/>
      <c r="EV21" s="133"/>
      <c r="EW21" s="133"/>
      <c r="EX21" s="133"/>
      <c r="EY21" s="133"/>
      <c r="EZ21" s="133"/>
      <c r="FA21" s="133"/>
      <c r="FB21" s="133"/>
      <c r="FC21" s="133"/>
      <c r="FD21" s="133"/>
      <c r="FE21" s="133"/>
      <c r="FF21" s="133"/>
      <c r="FG21" s="133"/>
      <c r="FH21" s="133"/>
      <c r="FI21" s="133"/>
      <c r="FJ21" s="133"/>
      <c r="FK21" s="133"/>
      <c r="FL21" s="133"/>
      <c r="FM21" s="133"/>
      <c r="FN21" s="133"/>
      <c r="FO21" s="133"/>
      <c r="FP21" s="133"/>
      <c r="FQ21" s="133"/>
      <c r="FR21" s="133"/>
      <c r="FS21" s="133"/>
      <c r="FT21" s="133"/>
      <c r="FU21" s="133"/>
      <c r="FV21" s="134"/>
    </row>
    <row r="22" spans="2:178" x14ac:dyDescent="0.3">
      <c r="B22" s="69" t="str">
        <f>Calculations!D40</f>
        <v>Activity 12</v>
      </c>
      <c r="C22" s="70">
        <f>Calculations!F40</f>
        <v>7</v>
      </c>
      <c r="D22" s="71">
        <f>Calculations!G40</f>
        <v>0</v>
      </c>
      <c r="E22" s="72">
        <f>IFERROR(Calculations!I40/Calculations!H40,"")</f>
        <v>0</v>
      </c>
      <c r="F22" s="110">
        <f>Calculations!E40</f>
        <v>40938</v>
      </c>
      <c r="G22" s="110">
        <f t="shared" si="56"/>
        <v>40947</v>
      </c>
      <c r="H22" s="126"/>
      <c r="I22" s="127"/>
      <c r="J22" s="127"/>
      <c r="K22" s="127"/>
      <c r="L22" s="128"/>
      <c r="M22" s="127"/>
      <c r="N22" s="127"/>
      <c r="O22" s="127"/>
      <c r="P22" s="127"/>
      <c r="Q22" s="127"/>
      <c r="R22" s="126"/>
      <c r="S22" s="127"/>
      <c r="T22" s="127"/>
      <c r="U22" s="127"/>
      <c r="V22" s="128"/>
      <c r="W22" s="127"/>
      <c r="X22" s="127"/>
      <c r="Y22" s="127"/>
      <c r="Z22" s="127"/>
      <c r="AA22" s="127"/>
      <c r="AB22" s="126"/>
      <c r="AC22" s="127"/>
      <c r="AD22" s="127"/>
      <c r="AE22" s="127"/>
      <c r="AF22" s="128"/>
      <c r="AG22" s="127"/>
      <c r="AH22" s="127"/>
      <c r="AI22" s="127"/>
      <c r="AJ22" s="127"/>
      <c r="AK22" s="127"/>
      <c r="AL22" s="126"/>
      <c r="AM22" s="127"/>
      <c r="AN22" s="127"/>
      <c r="AO22" s="127"/>
      <c r="AP22" s="128"/>
      <c r="AQ22" s="127"/>
      <c r="AR22" s="127"/>
      <c r="AS22" s="127"/>
      <c r="AT22" s="127"/>
      <c r="AU22" s="127"/>
      <c r="AV22" s="126"/>
      <c r="AW22" s="127"/>
      <c r="AX22" s="127"/>
      <c r="AY22" s="127"/>
      <c r="AZ22" s="128"/>
      <c r="BA22" s="127"/>
      <c r="BB22" s="127"/>
      <c r="BC22" s="127"/>
      <c r="BD22" s="127"/>
      <c r="BE22" s="127"/>
      <c r="BF22" s="126"/>
      <c r="BG22" s="127"/>
      <c r="BH22" s="127"/>
      <c r="BI22" s="127"/>
      <c r="BJ22" s="128"/>
      <c r="BK22" s="127"/>
      <c r="BL22" s="127"/>
      <c r="BM22" s="127"/>
      <c r="BN22" s="127"/>
      <c r="BO22" s="127"/>
      <c r="BP22" s="126"/>
      <c r="BQ22" s="127"/>
      <c r="BR22" s="127"/>
      <c r="BS22" s="127"/>
      <c r="BT22" s="128"/>
      <c r="BU22" s="127"/>
      <c r="BV22" s="127"/>
      <c r="BW22" s="127"/>
      <c r="BX22" s="127"/>
      <c r="BY22" s="127"/>
      <c r="BZ22" s="126"/>
      <c r="CA22" s="127"/>
      <c r="CB22" s="127"/>
      <c r="CC22" s="127"/>
      <c r="CD22" s="128"/>
      <c r="CE22" s="127"/>
      <c r="CF22" s="127"/>
      <c r="CG22" s="127"/>
      <c r="CH22" s="127"/>
      <c r="CI22" s="127"/>
      <c r="CJ22" s="126"/>
      <c r="CK22" s="127"/>
      <c r="CL22" s="127"/>
      <c r="CM22" s="127"/>
      <c r="CN22" s="128"/>
      <c r="CO22" s="126"/>
      <c r="CP22" s="127"/>
      <c r="CQ22" s="127"/>
      <c r="CR22" s="127"/>
      <c r="CS22" s="128"/>
      <c r="CU22" s="13">
        <f t="shared" si="57"/>
        <v>40938</v>
      </c>
      <c r="CV22" s="13">
        <f t="shared" si="58"/>
        <v>40952</v>
      </c>
      <c r="CX22" s="69" t="str">
        <f t="shared" si="41"/>
        <v>Activity 12</v>
      </c>
      <c r="CY22" s="70">
        <f t="shared" si="42"/>
        <v>7</v>
      </c>
      <c r="CZ22" s="71">
        <f t="shared" si="43"/>
        <v>0</v>
      </c>
      <c r="DA22" s="72">
        <f t="shared" si="44"/>
        <v>0</v>
      </c>
      <c r="DB22" s="110">
        <f t="shared" si="45"/>
        <v>40938</v>
      </c>
      <c r="DC22" s="110">
        <f t="shared" si="59"/>
        <v>40947</v>
      </c>
      <c r="DD22" s="118"/>
      <c r="DE22" s="119"/>
      <c r="DF22" s="119"/>
      <c r="DG22" s="119"/>
      <c r="DH22" s="119"/>
      <c r="DI22" s="119"/>
      <c r="DJ22" s="119"/>
      <c r="DK22" s="119"/>
      <c r="DL22" s="119"/>
      <c r="DM22" s="119"/>
      <c r="DN22" s="119"/>
      <c r="DO22" s="119"/>
      <c r="DP22" s="119"/>
      <c r="DQ22" s="119"/>
      <c r="DR22" s="119"/>
      <c r="DS22" s="119"/>
      <c r="DT22" s="119"/>
      <c r="DU22" s="119"/>
      <c r="DV22" s="119"/>
      <c r="DW22" s="119"/>
      <c r="DX22" s="119"/>
      <c r="DY22" s="119"/>
      <c r="DZ22" s="119"/>
      <c r="EA22" s="119"/>
      <c r="EB22" s="119"/>
      <c r="EC22" s="119"/>
      <c r="ED22" s="119"/>
      <c r="EE22" s="119"/>
      <c r="EF22" s="119"/>
      <c r="EG22" s="120"/>
      <c r="EJ22" s="13">
        <f t="shared" si="60"/>
        <v>40909</v>
      </c>
      <c r="EK22" s="13">
        <f t="shared" si="61"/>
        <v>40940</v>
      </c>
      <c r="EM22" s="69" t="str">
        <f t="shared" si="49"/>
        <v>Activity 12</v>
      </c>
      <c r="EN22" s="70">
        <f t="shared" si="50"/>
        <v>7</v>
      </c>
      <c r="EO22" s="71">
        <f t="shared" si="51"/>
        <v>0</v>
      </c>
      <c r="EP22" s="72">
        <f t="shared" si="52"/>
        <v>0</v>
      </c>
      <c r="EQ22" s="110">
        <f t="shared" si="53"/>
        <v>40938</v>
      </c>
      <c r="ER22" s="110">
        <f t="shared" si="54"/>
        <v>40947</v>
      </c>
      <c r="ES22" s="135"/>
      <c r="ET22" s="136"/>
      <c r="EU22" s="136"/>
      <c r="EV22" s="136"/>
      <c r="EW22" s="136"/>
      <c r="EX22" s="136"/>
      <c r="EY22" s="136"/>
      <c r="EZ22" s="136"/>
      <c r="FA22" s="136"/>
      <c r="FB22" s="136"/>
      <c r="FC22" s="136"/>
      <c r="FD22" s="136"/>
      <c r="FE22" s="136"/>
      <c r="FF22" s="136"/>
      <c r="FG22" s="136"/>
      <c r="FH22" s="136"/>
      <c r="FI22" s="136"/>
      <c r="FJ22" s="136"/>
      <c r="FK22" s="136"/>
      <c r="FL22" s="136"/>
      <c r="FM22" s="136"/>
      <c r="FN22" s="136"/>
      <c r="FO22" s="136"/>
      <c r="FP22" s="136"/>
      <c r="FQ22" s="136"/>
      <c r="FR22" s="136"/>
      <c r="FS22" s="136"/>
      <c r="FT22" s="136"/>
      <c r="FU22" s="136"/>
      <c r="FV22" s="137"/>
    </row>
    <row r="23" spans="2:178" x14ac:dyDescent="0.3">
      <c r="B23" s="65" t="str">
        <f>Calculations!D41</f>
        <v>Activity 13</v>
      </c>
      <c r="C23" s="66">
        <f>Calculations!F41</f>
        <v>21</v>
      </c>
      <c r="D23" s="67">
        <f>Calculations!G41</f>
        <v>0.47</v>
      </c>
      <c r="E23" s="68">
        <f>IFERROR(Calculations!I41/Calculations!H41,"")</f>
        <v>0.18149999999999999</v>
      </c>
      <c r="F23" s="109">
        <f>Calculations!E41</f>
        <v>40952</v>
      </c>
      <c r="G23" s="109">
        <f t="shared" si="56"/>
        <v>40981</v>
      </c>
      <c r="H23" s="124"/>
      <c r="I23" s="4"/>
      <c r="J23" s="4"/>
      <c r="K23" s="4"/>
      <c r="L23" s="125"/>
      <c r="R23" s="124"/>
      <c r="S23" s="4"/>
      <c r="T23" s="4"/>
      <c r="U23" s="4"/>
      <c r="V23" s="125"/>
      <c r="AB23" s="124"/>
      <c r="AC23" s="4"/>
      <c r="AD23" s="4"/>
      <c r="AE23" s="4"/>
      <c r="AF23" s="125"/>
      <c r="AL23" s="124"/>
      <c r="AM23" s="4"/>
      <c r="AN23" s="4"/>
      <c r="AO23" s="4"/>
      <c r="AP23" s="125"/>
      <c r="AV23" s="124"/>
      <c r="AW23" s="4"/>
      <c r="AX23" s="4"/>
      <c r="AY23" s="4"/>
      <c r="AZ23" s="125"/>
      <c r="BF23" s="124"/>
      <c r="BG23" s="4"/>
      <c r="BH23" s="4"/>
      <c r="BI23" s="4"/>
      <c r="BJ23" s="125"/>
      <c r="BP23" s="124"/>
      <c r="BQ23" s="4"/>
      <c r="BR23" s="4"/>
      <c r="BS23" s="4"/>
      <c r="BT23" s="125"/>
      <c r="BZ23" s="124"/>
      <c r="CA23" s="4"/>
      <c r="CB23" s="4"/>
      <c r="CC23" s="4"/>
      <c r="CD23" s="125"/>
      <c r="CJ23" s="124"/>
      <c r="CK23" s="4"/>
      <c r="CL23" s="4"/>
      <c r="CM23" s="4"/>
      <c r="CN23" s="125"/>
      <c r="CO23" s="124"/>
      <c r="CP23" s="4"/>
      <c r="CQ23" s="4"/>
      <c r="CR23" s="4"/>
      <c r="CS23" s="125"/>
      <c r="CU23" s="13">
        <f t="shared" si="57"/>
        <v>40952</v>
      </c>
      <c r="CV23" s="13">
        <f t="shared" si="58"/>
        <v>40987</v>
      </c>
      <c r="CX23" s="65" t="str">
        <f t="shared" si="41"/>
        <v>Activity 13</v>
      </c>
      <c r="CY23" s="66">
        <f t="shared" si="42"/>
        <v>21</v>
      </c>
      <c r="CZ23" s="67">
        <f t="shared" si="43"/>
        <v>0.47</v>
      </c>
      <c r="DA23" s="68">
        <f t="shared" si="44"/>
        <v>0.18149999999999999</v>
      </c>
      <c r="DB23" s="109">
        <f t="shared" si="45"/>
        <v>40952</v>
      </c>
      <c r="DC23" s="109">
        <f t="shared" si="59"/>
        <v>40981</v>
      </c>
      <c r="DD23" s="115"/>
      <c r="DE23" s="116"/>
      <c r="DF23" s="116"/>
      <c r="DG23" s="116"/>
      <c r="DH23" s="116"/>
      <c r="DI23" s="116"/>
      <c r="DJ23" s="116"/>
      <c r="DK23" s="116"/>
      <c r="DL23" s="116"/>
      <c r="DM23" s="116"/>
      <c r="DN23" s="116"/>
      <c r="DO23" s="116"/>
      <c r="DP23" s="116"/>
      <c r="DQ23" s="116"/>
      <c r="DR23" s="116"/>
      <c r="DS23" s="116"/>
      <c r="DT23" s="116"/>
      <c r="DU23" s="116"/>
      <c r="DV23" s="116"/>
      <c r="DW23" s="116"/>
      <c r="DX23" s="116"/>
      <c r="DY23" s="116"/>
      <c r="DZ23" s="116"/>
      <c r="EA23" s="116"/>
      <c r="EB23" s="116"/>
      <c r="EC23" s="116"/>
      <c r="ED23" s="116"/>
      <c r="EE23" s="116"/>
      <c r="EF23" s="116"/>
      <c r="EG23" s="117"/>
      <c r="EJ23" s="13">
        <f t="shared" si="60"/>
        <v>40940</v>
      </c>
      <c r="EK23" s="13">
        <f t="shared" si="61"/>
        <v>40969</v>
      </c>
      <c r="EM23" s="65" t="str">
        <f t="shared" si="49"/>
        <v>Activity 13</v>
      </c>
      <c r="EN23" s="66">
        <f t="shared" si="50"/>
        <v>21</v>
      </c>
      <c r="EO23" s="67">
        <f t="shared" si="51"/>
        <v>0.47</v>
      </c>
      <c r="EP23" s="68">
        <f t="shared" si="52"/>
        <v>0.18149999999999999</v>
      </c>
      <c r="EQ23" s="109">
        <f t="shared" si="53"/>
        <v>40952</v>
      </c>
      <c r="ER23" s="109">
        <f t="shared" si="54"/>
        <v>40981</v>
      </c>
      <c r="ES23" s="132"/>
      <c r="ET23" s="133"/>
      <c r="EU23" s="133"/>
      <c r="EV23" s="133"/>
      <c r="EW23" s="133"/>
      <c r="EX23" s="133"/>
      <c r="EY23" s="133"/>
      <c r="EZ23" s="133"/>
      <c r="FA23" s="133"/>
      <c r="FB23" s="133"/>
      <c r="FC23" s="133"/>
      <c r="FD23" s="133"/>
      <c r="FE23" s="133"/>
      <c r="FF23" s="133"/>
      <c r="FG23" s="133"/>
      <c r="FH23" s="133"/>
      <c r="FI23" s="133"/>
      <c r="FJ23" s="133"/>
      <c r="FK23" s="133"/>
      <c r="FL23" s="133"/>
      <c r="FM23" s="133"/>
      <c r="FN23" s="133"/>
      <c r="FO23" s="133"/>
      <c r="FP23" s="133"/>
      <c r="FQ23" s="133"/>
      <c r="FR23" s="133"/>
      <c r="FS23" s="133"/>
      <c r="FT23" s="133"/>
      <c r="FU23" s="133"/>
      <c r="FV23" s="134"/>
    </row>
    <row r="24" spans="2:178" x14ac:dyDescent="0.3">
      <c r="B24" s="69" t="str">
        <f>Calculations!D42</f>
        <v>Activity 14</v>
      </c>
      <c r="C24" s="70">
        <f>Calculations!F42</f>
        <v>14</v>
      </c>
      <c r="D24" s="71">
        <f>Calculations!G42</f>
        <v>0</v>
      </c>
      <c r="E24" s="72">
        <f>IFERROR(Calculations!I42/Calculations!H42,"")</f>
        <v>0</v>
      </c>
      <c r="F24" s="110">
        <f>Calculations!E42</f>
        <v>40968</v>
      </c>
      <c r="G24" s="110">
        <f t="shared" si="56"/>
        <v>40988</v>
      </c>
      <c r="H24" s="126"/>
      <c r="I24" s="127"/>
      <c r="J24" s="127"/>
      <c r="K24" s="127"/>
      <c r="L24" s="128"/>
      <c r="M24" s="127"/>
      <c r="N24" s="127"/>
      <c r="O24" s="127"/>
      <c r="P24" s="127"/>
      <c r="Q24" s="127"/>
      <c r="R24" s="126"/>
      <c r="S24" s="127"/>
      <c r="T24" s="127"/>
      <c r="U24" s="127"/>
      <c r="V24" s="128"/>
      <c r="W24" s="127"/>
      <c r="X24" s="127"/>
      <c r="Y24" s="127"/>
      <c r="Z24" s="127"/>
      <c r="AA24" s="127"/>
      <c r="AB24" s="126"/>
      <c r="AC24" s="127"/>
      <c r="AD24" s="127"/>
      <c r="AE24" s="127"/>
      <c r="AF24" s="128"/>
      <c r="AG24" s="127"/>
      <c r="AH24" s="127"/>
      <c r="AI24" s="127"/>
      <c r="AJ24" s="127"/>
      <c r="AK24" s="127"/>
      <c r="AL24" s="126"/>
      <c r="AM24" s="127"/>
      <c r="AN24" s="127"/>
      <c r="AO24" s="127"/>
      <c r="AP24" s="128"/>
      <c r="AQ24" s="127"/>
      <c r="AR24" s="127"/>
      <c r="AS24" s="127"/>
      <c r="AT24" s="127"/>
      <c r="AU24" s="127"/>
      <c r="AV24" s="126"/>
      <c r="AW24" s="127"/>
      <c r="AX24" s="127"/>
      <c r="AY24" s="127"/>
      <c r="AZ24" s="128"/>
      <c r="BA24" s="127"/>
      <c r="BB24" s="127"/>
      <c r="BC24" s="127"/>
      <c r="BD24" s="127"/>
      <c r="BE24" s="127"/>
      <c r="BF24" s="126"/>
      <c r="BG24" s="127"/>
      <c r="BH24" s="127"/>
      <c r="BI24" s="127"/>
      <c r="BJ24" s="128"/>
      <c r="BK24" s="127"/>
      <c r="BL24" s="127"/>
      <c r="BM24" s="127"/>
      <c r="BN24" s="127"/>
      <c r="BO24" s="127"/>
      <c r="BP24" s="126"/>
      <c r="BQ24" s="127"/>
      <c r="BR24" s="127"/>
      <c r="BS24" s="127"/>
      <c r="BT24" s="128"/>
      <c r="BU24" s="127"/>
      <c r="BV24" s="127"/>
      <c r="BW24" s="127"/>
      <c r="BX24" s="127"/>
      <c r="BY24" s="127"/>
      <c r="BZ24" s="126"/>
      <c r="CA24" s="127"/>
      <c r="CB24" s="127"/>
      <c r="CC24" s="127"/>
      <c r="CD24" s="128"/>
      <c r="CE24" s="127"/>
      <c r="CF24" s="127"/>
      <c r="CG24" s="127"/>
      <c r="CH24" s="127"/>
      <c r="CI24" s="127"/>
      <c r="CJ24" s="126"/>
      <c r="CK24" s="127"/>
      <c r="CL24" s="127"/>
      <c r="CM24" s="127"/>
      <c r="CN24" s="128"/>
      <c r="CO24" s="126"/>
      <c r="CP24" s="127"/>
      <c r="CQ24" s="127"/>
      <c r="CR24" s="127"/>
      <c r="CS24" s="128"/>
      <c r="CU24" s="13">
        <f t="shared" si="57"/>
        <v>40966</v>
      </c>
      <c r="CV24" s="13">
        <f t="shared" si="58"/>
        <v>40994</v>
      </c>
      <c r="CX24" s="69" t="str">
        <f t="shared" si="41"/>
        <v>Activity 14</v>
      </c>
      <c r="CY24" s="70">
        <f t="shared" si="42"/>
        <v>14</v>
      </c>
      <c r="CZ24" s="71">
        <f t="shared" si="43"/>
        <v>0</v>
      </c>
      <c r="DA24" s="72">
        <f t="shared" si="44"/>
        <v>0</v>
      </c>
      <c r="DB24" s="110">
        <f t="shared" si="45"/>
        <v>40968</v>
      </c>
      <c r="DC24" s="110">
        <f t="shared" si="59"/>
        <v>40988</v>
      </c>
      <c r="DD24" s="118"/>
      <c r="DE24" s="119"/>
      <c r="DF24" s="119"/>
      <c r="DG24" s="119"/>
      <c r="DH24" s="119"/>
      <c r="DI24" s="119"/>
      <c r="DJ24" s="119"/>
      <c r="DK24" s="119"/>
      <c r="DL24" s="119"/>
      <c r="DM24" s="119"/>
      <c r="DN24" s="119"/>
      <c r="DO24" s="119"/>
      <c r="DP24" s="119"/>
      <c r="DQ24" s="119"/>
      <c r="DR24" s="119"/>
      <c r="DS24" s="119"/>
      <c r="DT24" s="119"/>
      <c r="DU24" s="119"/>
      <c r="DV24" s="119"/>
      <c r="DW24" s="119"/>
      <c r="DX24" s="119"/>
      <c r="DY24" s="119"/>
      <c r="DZ24" s="119"/>
      <c r="EA24" s="119"/>
      <c r="EB24" s="119"/>
      <c r="EC24" s="119"/>
      <c r="ED24" s="119"/>
      <c r="EE24" s="119"/>
      <c r="EF24" s="119"/>
      <c r="EG24" s="120"/>
      <c r="EJ24" s="13">
        <f t="shared" si="60"/>
        <v>40940</v>
      </c>
      <c r="EK24" s="13">
        <f t="shared" si="61"/>
        <v>40969</v>
      </c>
      <c r="EM24" s="69" t="str">
        <f t="shared" si="49"/>
        <v>Activity 14</v>
      </c>
      <c r="EN24" s="70">
        <f t="shared" si="50"/>
        <v>14</v>
      </c>
      <c r="EO24" s="71">
        <f t="shared" si="51"/>
        <v>0</v>
      </c>
      <c r="EP24" s="72">
        <f t="shared" si="52"/>
        <v>0</v>
      </c>
      <c r="EQ24" s="110">
        <f t="shared" si="53"/>
        <v>40968</v>
      </c>
      <c r="ER24" s="110">
        <f t="shared" si="54"/>
        <v>40988</v>
      </c>
      <c r="ES24" s="135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F24" s="136"/>
      <c r="FG24" s="136"/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V24" s="137"/>
    </row>
    <row r="25" spans="2:178" x14ac:dyDescent="0.3">
      <c r="B25" s="65" t="str">
        <f>Calculations!D43</f>
        <v>Activity 15</v>
      </c>
      <c r="C25" s="66">
        <f>Calculations!F43</f>
        <v>7</v>
      </c>
      <c r="D25" s="67">
        <f>Calculations!G43</f>
        <v>0</v>
      </c>
      <c r="E25" s="68">
        <f>IFERROR(Calculations!I43/Calculations!H43,"")</f>
        <v>0</v>
      </c>
      <c r="F25" s="109">
        <f>Calculations!E43</f>
        <v>40983</v>
      </c>
      <c r="G25" s="109">
        <f t="shared" si="56"/>
        <v>40994</v>
      </c>
      <c r="H25" s="124"/>
      <c r="I25" s="4"/>
      <c r="J25" s="4"/>
      <c r="K25" s="4"/>
      <c r="L25" s="125"/>
      <c r="R25" s="124"/>
      <c r="S25" s="4"/>
      <c r="T25" s="4"/>
      <c r="U25" s="4"/>
      <c r="V25" s="125"/>
      <c r="AB25" s="124"/>
      <c r="AC25" s="4"/>
      <c r="AD25" s="4"/>
      <c r="AE25" s="4"/>
      <c r="AF25" s="125"/>
      <c r="AL25" s="124"/>
      <c r="AM25" s="4"/>
      <c r="AN25" s="4"/>
      <c r="AO25" s="4"/>
      <c r="AP25" s="125"/>
      <c r="AV25" s="124"/>
      <c r="AW25" s="4"/>
      <c r="AX25" s="4"/>
      <c r="AY25" s="4"/>
      <c r="AZ25" s="125"/>
      <c r="BF25" s="124"/>
      <c r="BG25" s="4"/>
      <c r="BH25" s="4"/>
      <c r="BI25" s="4"/>
      <c r="BJ25" s="125"/>
      <c r="BP25" s="124"/>
      <c r="BQ25" s="4"/>
      <c r="BR25" s="4"/>
      <c r="BS25" s="4"/>
      <c r="BT25" s="125"/>
      <c r="BZ25" s="124"/>
      <c r="CA25" s="4"/>
      <c r="CB25" s="4"/>
      <c r="CC25" s="4"/>
      <c r="CD25" s="125"/>
      <c r="CJ25" s="124"/>
      <c r="CK25" s="4"/>
      <c r="CL25" s="4"/>
      <c r="CM25" s="4"/>
      <c r="CN25" s="125"/>
      <c r="CO25" s="124"/>
      <c r="CP25" s="4"/>
      <c r="CQ25" s="4"/>
      <c r="CR25" s="4"/>
      <c r="CS25" s="125"/>
      <c r="CU25" s="13">
        <f t="shared" si="57"/>
        <v>40980</v>
      </c>
      <c r="CV25" s="13">
        <f t="shared" si="58"/>
        <v>40994</v>
      </c>
      <c r="CX25" s="65" t="str">
        <f t="shared" si="41"/>
        <v>Activity 15</v>
      </c>
      <c r="CY25" s="66">
        <f t="shared" si="42"/>
        <v>7</v>
      </c>
      <c r="CZ25" s="67">
        <f t="shared" si="43"/>
        <v>0</v>
      </c>
      <c r="DA25" s="68">
        <f t="shared" si="44"/>
        <v>0</v>
      </c>
      <c r="DB25" s="109">
        <f t="shared" si="45"/>
        <v>40983</v>
      </c>
      <c r="DC25" s="109">
        <f t="shared" si="59"/>
        <v>40994</v>
      </c>
      <c r="DD25" s="115"/>
      <c r="DE25" s="116"/>
      <c r="DF25" s="116"/>
      <c r="DG25" s="116"/>
      <c r="DH25" s="116"/>
      <c r="DI25" s="116"/>
      <c r="DJ25" s="116"/>
      <c r="DK25" s="116"/>
      <c r="DL25" s="116"/>
      <c r="DM25" s="116"/>
      <c r="DN25" s="116"/>
      <c r="DO25" s="116"/>
      <c r="DP25" s="116"/>
      <c r="DQ25" s="116"/>
      <c r="DR25" s="116"/>
      <c r="DS25" s="116"/>
      <c r="DT25" s="116"/>
      <c r="DU25" s="116"/>
      <c r="DV25" s="116"/>
      <c r="DW25" s="116"/>
      <c r="DX25" s="116"/>
      <c r="DY25" s="116"/>
      <c r="DZ25" s="116"/>
      <c r="EA25" s="116"/>
      <c r="EB25" s="116"/>
      <c r="EC25" s="116"/>
      <c r="ED25" s="116"/>
      <c r="EE25" s="116"/>
      <c r="EF25" s="116"/>
      <c r="EG25" s="117"/>
      <c r="EJ25" s="13">
        <f t="shared" si="60"/>
        <v>40969</v>
      </c>
      <c r="EK25" s="13">
        <f t="shared" si="61"/>
        <v>40969</v>
      </c>
      <c r="EM25" s="65" t="str">
        <f t="shared" si="49"/>
        <v>Activity 15</v>
      </c>
      <c r="EN25" s="66">
        <f t="shared" si="50"/>
        <v>7</v>
      </c>
      <c r="EO25" s="67">
        <f t="shared" si="51"/>
        <v>0</v>
      </c>
      <c r="EP25" s="68">
        <f t="shared" si="52"/>
        <v>0</v>
      </c>
      <c r="EQ25" s="109">
        <f t="shared" si="53"/>
        <v>40983</v>
      </c>
      <c r="ER25" s="109">
        <f t="shared" si="54"/>
        <v>40994</v>
      </c>
      <c r="ES25" s="132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F25" s="133"/>
      <c r="FG25" s="133"/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V25" s="134"/>
    </row>
    <row r="26" spans="2:178" x14ac:dyDescent="0.3">
      <c r="B26" s="69" t="str">
        <f>Calculations!D44</f>
        <v>Activity 16</v>
      </c>
      <c r="C26" s="70">
        <f>Calculations!F44</f>
        <v>7</v>
      </c>
      <c r="D26" s="71">
        <f>Calculations!G44</f>
        <v>0</v>
      </c>
      <c r="E26" s="72">
        <f>IFERROR(Calculations!I44/Calculations!H44,"")</f>
        <v>0</v>
      </c>
      <c r="F26" s="110">
        <f>Calculations!E44</f>
        <v>41001</v>
      </c>
      <c r="G26" s="110">
        <f t="shared" si="56"/>
        <v>41010</v>
      </c>
      <c r="H26" s="126"/>
      <c r="I26" s="127"/>
      <c r="J26" s="127"/>
      <c r="K26" s="127"/>
      <c r="L26" s="128"/>
      <c r="M26" s="127"/>
      <c r="N26" s="127"/>
      <c r="O26" s="127"/>
      <c r="P26" s="127"/>
      <c r="Q26" s="127"/>
      <c r="R26" s="126"/>
      <c r="S26" s="127"/>
      <c r="T26" s="127"/>
      <c r="U26" s="127"/>
      <c r="V26" s="128"/>
      <c r="W26" s="127"/>
      <c r="X26" s="127"/>
      <c r="Y26" s="127"/>
      <c r="Z26" s="127"/>
      <c r="AA26" s="127"/>
      <c r="AB26" s="126"/>
      <c r="AC26" s="127"/>
      <c r="AD26" s="127"/>
      <c r="AE26" s="127"/>
      <c r="AF26" s="128"/>
      <c r="AG26" s="127"/>
      <c r="AH26" s="127"/>
      <c r="AI26" s="127"/>
      <c r="AJ26" s="127"/>
      <c r="AK26" s="127"/>
      <c r="AL26" s="126"/>
      <c r="AM26" s="127"/>
      <c r="AN26" s="127"/>
      <c r="AO26" s="127"/>
      <c r="AP26" s="128"/>
      <c r="AQ26" s="127"/>
      <c r="AR26" s="127"/>
      <c r="AS26" s="127"/>
      <c r="AT26" s="127"/>
      <c r="AU26" s="127"/>
      <c r="AV26" s="126"/>
      <c r="AW26" s="127"/>
      <c r="AX26" s="127"/>
      <c r="AY26" s="127"/>
      <c r="AZ26" s="128"/>
      <c r="BA26" s="127"/>
      <c r="BB26" s="127"/>
      <c r="BC26" s="127"/>
      <c r="BD26" s="127"/>
      <c r="BE26" s="127"/>
      <c r="BF26" s="126"/>
      <c r="BG26" s="127"/>
      <c r="BH26" s="127"/>
      <c r="BI26" s="127"/>
      <c r="BJ26" s="128"/>
      <c r="BK26" s="127"/>
      <c r="BL26" s="127"/>
      <c r="BM26" s="127"/>
      <c r="BN26" s="127"/>
      <c r="BO26" s="127"/>
      <c r="BP26" s="126"/>
      <c r="BQ26" s="127"/>
      <c r="BR26" s="127"/>
      <c r="BS26" s="127"/>
      <c r="BT26" s="128"/>
      <c r="BU26" s="127"/>
      <c r="BV26" s="127"/>
      <c r="BW26" s="127"/>
      <c r="BX26" s="127"/>
      <c r="BY26" s="127"/>
      <c r="BZ26" s="126"/>
      <c r="CA26" s="127"/>
      <c r="CB26" s="127"/>
      <c r="CC26" s="127"/>
      <c r="CD26" s="128"/>
      <c r="CE26" s="127"/>
      <c r="CF26" s="127"/>
      <c r="CG26" s="127"/>
      <c r="CH26" s="127"/>
      <c r="CI26" s="127"/>
      <c r="CJ26" s="126"/>
      <c r="CK26" s="127"/>
      <c r="CL26" s="127"/>
      <c r="CM26" s="127"/>
      <c r="CN26" s="128"/>
      <c r="CO26" s="126"/>
      <c r="CP26" s="127"/>
      <c r="CQ26" s="127"/>
      <c r="CR26" s="127"/>
      <c r="CS26" s="128"/>
      <c r="CU26" s="13">
        <f t="shared" si="57"/>
        <v>41001</v>
      </c>
      <c r="CV26" s="13">
        <f t="shared" si="58"/>
        <v>41015</v>
      </c>
      <c r="CX26" s="69" t="str">
        <f t="shared" si="41"/>
        <v>Activity 16</v>
      </c>
      <c r="CY26" s="70">
        <f t="shared" si="42"/>
        <v>7</v>
      </c>
      <c r="CZ26" s="71">
        <f t="shared" si="43"/>
        <v>0</v>
      </c>
      <c r="DA26" s="72">
        <f t="shared" si="44"/>
        <v>0</v>
      </c>
      <c r="DB26" s="110">
        <f t="shared" si="45"/>
        <v>41001</v>
      </c>
      <c r="DC26" s="110">
        <f t="shared" si="59"/>
        <v>41010</v>
      </c>
      <c r="DD26" s="118"/>
      <c r="DE26" s="119"/>
      <c r="DF26" s="119"/>
      <c r="DG26" s="119"/>
      <c r="DH26" s="119"/>
      <c r="DI26" s="119"/>
      <c r="DJ26" s="119"/>
      <c r="DK26" s="119"/>
      <c r="DL26" s="119"/>
      <c r="DM26" s="119"/>
      <c r="DN26" s="119"/>
      <c r="DO26" s="119"/>
      <c r="DP26" s="119"/>
      <c r="DQ26" s="119"/>
      <c r="DR26" s="119"/>
      <c r="DS26" s="119"/>
      <c r="DT26" s="119"/>
      <c r="DU26" s="119"/>
      <c r="DV26" s="119"/>
      <c r="DW26" s="119"/>
      <c r="DX26" s="119"/>
      <c r="DY26" s="119"/>
      <c r="DZ26" s="119"/>
      <c r="EA26" s="119"/>
      <c r="EB26" s="119"/>
      <c r="EC26" s="119"/>
      <c r="ED26" s="119"/>
      <c r="EE26" s="119"/>
      <c r="EF26" s="119"/>
      <c r="EG26" s="120"/>
      <c r="EJ26" s="13">
        <f t="shared" si="60"/>
        <v>41000</v>
      </c>
      <c r="EK26" s="13">
        <f t="shared" si="61"/>
        <v>41000</v>
      </c>
      <c r="EM26" s="69" t="str">
        <f t="shared" si="49"/>
        <v>Activity 16</v>
      </c>
      <c r="EN26" s="70">
        <f t="shared" si="50"/>
        <v>7</v>
      </c>
      <c r="EO26" s="71">
        <f t="shared" si="51"/>
        <v>0</v>
      </c>
      <c r="EP26" s="72">
        <f t="shared" si="52"/>
        <v>0</v>
      </c>
      <c r="EQ26" s="110">
        <f t="shared" si="53"/>
        <v>41001</v>
      </c>
      <c r="ER26" s="110">
        <f t="shared" si="54"/>
        <v>41010</v>
      </c>
      <c r="ES26" s="135"/>
      <c r="ET26" s="136"/>
      <c r="EU26" s="136"/>
      <c r="EV26" s="136"/>
      <c r="EW26" s="136"/>
      <c r="EX26" s="136"/>
      <c r="EY26" s="136"/>
      <c r="EZ26" s="136"/>
      <c r="FA26" s="136"/>
      <c r="FB26" s="136"/>
      <c r="FC26" s="136"/>
      <c r="FD26" s="136"/>
      <c r="FE26" s="136"/>
      <c r="FF26" s="136"/>
      <c r="FG26" s="136"/>
      <c r="FH26" s="136"/>
      <c r="FI26" s="136"/>
      <c r="FJ26" s="136"/>
      <c r="FK26" s="136"/>
      <c r="FL26" s="136"/>
      <c r="FM26" s="136"/>
      <c r="FN26" s="136"/>
      <c r="FO26" s="136"/>
      <c r="FP26" s="136"/>
      <c r="FQ26" s="136"/>
      <c r="FR26" s="136"/>
      <c r="FS26" s="136"/>
      <c r="FT26" s="136"/>
      <c r="FU26" s="136"/>
      <c r="FV26" s="137"/>
    </row>
    <row r="29" spans="2:178" x14ac:dyDescent="0.3">
      <c r="H29">
        <f>valGanttStart</f>
        <v>40777</v>
      </c>
      <c r="I29">
        <f>H29+7</f>
        <v>40784</v>
      </c>
      <c r="J29">
        <f t="shared" ref="J29:BU29" si="62">I29+7</f>
        <v>40791</v>
      </c>
      <c r="K29">
        <f t="shared" si="62"/>
        <v>40798</v>
      </c>
      <c r="L29">
        <f t="shared" si="62"/>
        <v>40805</v>
      </c>
      <c r="M29">
        <f t="shared" si="62"/>
        <v>40812</v>
      </c>
      <c r="N29">
        <f t="shared" si="62"/>
        <v>40819</v>
      </c>
      <c r="O29">
        <f t="shared" si="62"/>
        <v>40826</v>
      </c>
      <c r="P29">
        <f t="shared" si="62"/>
        <v>40833</v>
      </c>
      <c r="Q29">
        <f t="shared" si="62"/>
        <v>40840</v>
      </c>
      <c r="R29">
        <f t="shared" si="62"/>
        <v>40847</v>
      </c>
      <c r="S29">
        <f t="shared" si="62"/>
        <v>40854</v>
      </c>
      <c r="T29">
        <f t="shared" si="62"/>
        <v>40861</v>
      </c>
      <c r="U29">
        <f t="shared" si="62"/>
        <v>40868</v>
      </c>
      <c r="V29">
        <f t="shared" si="62"/>
        <v>40875</v>
      </c>
      <c r="W29">
        <f t="shared" si="62"/>
        <v>40882</v>
      </c>
      <c r="X29">
        <f t="shared" si="62"/>
        <v>40889</v>
      </c>
      <c r="Y29">
        <f t="shared" si="62"/>
        <v>40896</v>
      </c>
      <c r="Z29">
        <f t="shared" si="62"/>
        <v>40903</v>
      </c>
      <c r="AA29">
        <f t="shared" si="62"/>
        <v>40910</v>
      </c>
      <c r="AB29">
        <f t="shared" si="62"/>
        <v>40917</v>
      </c>
      <c r="AC29">
        <f t="shared" si="62"/>
        <v>40924</v>
      </c>
      <c r="AD29">
        <f t="shared" si="62"/>
        <v>40931</v>
      </c>
      <c r="AE29">
        <f t="shared" si="62"/>
        <v>40938</v>
      </c>
      <c r="AF29">
        <f t="shared" si="62"/>
        <v>40945</v>
      </c>
      <c r="AG29">
        <f t="shared" si="62"/>
        <v>40952</v>
      </c>
      <c r="AH29">
        <f t="shared" si="62"/>
        <v>40959</v>
      </c>
      <c r="AI29">
        <f t="shared" si="62"/>
        <v>40966</v>
      </c>
      <c r="AJ29">
        <f t="shared" si="62"/>
        <v>40973</v>
      </c>
      <c r="AK29">
        <f t="shared" si="62"/>
        <v>40980</v>
      </c>
      <c r="AL29">
        <f t="shared" si="62"/>
        <v>40987</v>
      </c>
      <c r="AM29">
        <f t="shared" si="62"/>
        <v>40994</v>
      </c>
      <c r="AN29">
        <f t="shared" si="62"/>
        <v>41001</v>
      </c>
      <c r="AO29">
        <f t="shared" si="62"/>
        <v>41008</v>
      </c>
      <c r="AP29">
        <f t="shared" si="62"/>
        <v>41015</v>
      </c>
      <c r="AQ29">
        <f t="shared" si="62"/>
        <v>41022</v>
      </c>
      <c r="AR29">
        <f t="shared" si="62"/>
        <v>41029</v>
      </c>
      <c r="AS29">
        <f t="shared" si="62"/>
        <v>41036</v>
      </c>
      <c r="AT29">
        <f t="shared" si="62"/>
        <v>41043</v>
      </c>
      <c r="AU29">
        <f t="shared" si="62"/>
        <v>41050</v>
      </c>
      <c r="AV29">
        <f t="shared" si="62"/>
        <v>41057</v>
      </c>
      <c r="AW29">
        <f t="shared" si="62"/>
        <v>41064</v>
      </c>
      <c r="AX29">
        <f t="shared" si="62"/>
        <v>41071</v>
      </c>
      <c r="AY29">
        <f t="shared" si="62"/>
        <v>41078</v>
      </c>
      <c r="AZ29">
        <f t="shared" si="62"/>
        <v>41085</v>
      </c>
      <c r="BA29">
        <f t="shared" si="62"/>
        <v>41092</v>
      </c>
      <c r="BB29">
        <f t="shared" si="62"/>
        <v>41099</v>
      </c>
      <c r="BC29">
        <f t="shared" si="62"/>
        <v>41106</v>
      </c>
      <c r="BD29">
        <f t="shared" si="62"/>
        <v>41113</v>
      </c>
      <c r="BE29">
        <f t="shared" si="62"/>
        <v>41120</v>
      </c>
      <c r="BF29">
        <f t="shared" si="62"/>
        <v>41127</v>
      </c>
      <c r="BG29">
        <f t="shared" si="62"/>
        <v>41134</v>
      </c>
      <c r="BH29">
        <f t="shared" si="62"/>
        <v>41141</v>
      </c>
      <c r="BI29">
        <f t="shared" si="62"/>
        <v>41148</v>
      </c>
      <c r="BJ29">
        <f t="shared" si="62"/>
        <v>41155</v>
      </c>
      <c r="BK29">
        <f t="shared" si="62"/>
        <v>41162</v>
      </c>
      <c r="BL29">
        <f t="shared" si="62"/>
        <v>41169</v>
      </c>
      <c r="BM29">
        <f t="shared" si="62"/>
        <v>41176</v>
      </c>
      <c r="BN29">
        <f t="shared" si="62"/>
        <v>41183</v>
      </c>
      <c r="BO29">
        <f t="shared" si="62"/>
        <v>41190</v>
      </c>
      <c r="BP29">
        <f t="shared" si="62"/>
        <v>41197</v>
      </c>
      <c r="BQ29">
        <f t="shared" si="62"/>
        <v>41204</v>
      </c>
      <c r="BR29">
        <f t="shared" si="62"/>
        <v>41211</v>
      </c>
      <c r="BS29">
        <f t="shared" si="62"/>
        <v>41218</v>
      </c>
      <c r="BT29">
        <f t="shared" si="62"/>
        <v>41225</v>
      </c>
      <c r="BU29">
        <f t="shared" si="62"/>
        <v>41232</v>
      </c>
      <c r="BV29">
        <f t="shared" ref="BV29:CS29" si="63">BU29+7</f>
        <v>41239</v>
      </c>
      <c r="BW29">
        <f t="shared" si="63"/>
        <v>41246</v>
      </c>
      <c r="BX29">
        <f t="shared" si="63"/>
        <v>41253</v>
      </c>
      <c r="BY29">
        <f t="shared" si="63"/>
        <v>41260</v>
      </c>
      <c r="BZ29">
        <f t="shared" si="63"/>
        <v>41267</v>
      </c>
      <c r="CA29">
        <f t="shared" si="63"/>
        <v>41274</v>
      </c>
      <c r="CB29">
        <f t="shared" si="63"/>
        <v>41281</v>
      </c>
      <c r="CC29">
        <f t="shared" si="63"/>
        <v>41288</v>
      </c>
      <c r="CD29">
        <f t="shared" si="63"/>
        <v>41295</v>
      </c>
      <c r="CE29">
        <f t="shared" si="63"/>
        <v>41302</v>
      </c>
      <c r="CF29">
        <f t="shared" si="63"/>
        <v>41309</v>
      </c>
      <c r="CG29">
        <f t="shared" si="63"/>
        <v>41316</v>
      </c>
      <c r="CH29">
        <f t="shared" si="63"/>
        <v>41323</v>
      </c>
      <c r="CI29">
        <f t="shared" si="63"/>
        <v>41330</v>
      </c>
      <c r="CJ29">
        <f t="shared" si="63"/>
        <v>41337</v>
      </c>
      <c r="CK29">
        <f t="shared" si="63"/>
        <v>41344</v>
      </c>
      <c r="CL29">
        <f t="shared" si="63"/>
        <v>41351</v>
      </c>
      <c r="CM29">
        <f t="shared" si="63"/>
        <v>41358</v>
      </c>
      <c r="CN29">
        <f t="shared" si="63"/>
        <v>41365</v>
      </c>
      <c r="CO29">
        <f t="shared" si="63"/>
        <v>41372</v>
      </c>
      <c r="CP29">
        <f t="shared" si="63"/>
        <v>41379</v>
      </c>
      <c r="CQ29">
        <f t="shared" si="63"/>
        <v>41386</v>
      </c>
      <c r="CR29">
        <f t="shared" si="63"/>
        <v>41393</v>
      </c>
      <c r="CS29">
        <f t="shared" si="63"/>
        <v>41400</v>
      </c>
    </row>
  </sheetData>
  <mergeCells count="36">
    <mergeCell ref="H9:L9"/>
    <mergeCell ref="M9:Q9"/>
    <mergeCell ref="R9:V9"/>
    <mergeCell ref="W9:AA9"/>
    <mergeCell ref="AB9:AF9"/>
    <mergeCell ref="H10:L10"/>
    <mergeCell ref="BZ10:CD10"/>
    <mergeCell ref="CE10:CI10"/>
    <mergeCell ref="M10:Q10"/>
    <mergeCell ref="CJ10:CN10"/>
    <mergeCell ref="R10:V10"/>
    <mergeCell ref="W10:AA10"/>
    <mergeCell ref="AB10:AF10"/>
    <mergeCell ref="AG10:AK10"/>
    <mergeCell ref="AQ10:AU10"/>
    <mergeCell ref="AV10:AZ10"/>
    <mergeCell ref="BA10:BE10"/>
    <mergeCell ref="BF10:BJ10"/>
    <mergeCell ref="BK10:BO10"/>
    <mergeCell ref="BP10:BT10"/>
    <mergeCell ref="AG9:AK9"/>
    <mergeCell ref="AL9:AP9"/>
    <mergeCell ref="AQ9:AU9"/>
    <mergeCell ref="AV9:AZ9"/>
    <mergeCell ref="BA9:BE9"/>
    <mergeCell ref="BF9:BJ9"/>
    <mergeCell ref="BU10:BY10"/>
    <mergeCell ref="AL10:AP10"/>
    <mergeCell ref="CO9:CS9"/>
    <mergeCell ref="BK9:BO9"/>
    <mergeCell ref="BP9:BT9"/>
    <mergeCell ref="BU9:BY9"/>
    <mergeCell ref="BZ9:CD9"/>
    <mergeCell ref="CE9:CI9"/>
    <mergeCell ref="CJ9:CN9"/>
    <mergeCell ref="CO10:CS10"/>
  </mergeCells>
  <conditionalFormatting sqref="E11:E26">
    <cfRule type="dataBar" priority="21">
      <dataBar showValue="0"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{1CBC2E79-00A1-4451-A26F-3C8E73304848}</x14:id>
        </ext>
      </extLst>
    </cfRule>
  </conditionalFormatting>
  <conditionalFormatting sqref="DA11:DA26">
    <cfRule type="dataBar" priority="17">
      <dataBar showValue="0"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{046F3BBF-B51E-43B9-B708-B11275F9F555}</x14:id>
        </ext>
      </extLst>
    </cfRule>
  </conditionalFormatting>
  <conditionalFormatting sqref="DD11:EG26">
    <cfRule type="expression" dxfId="11" priority="16">
      <formula>MEDIAN(DD$10,$CU11,$CV11)=DD$10</formula>
    </cfRule>
  </conditionalFormatting>
  <conditionalFormatting sqref="DD9:EG26">
    <cfRule type="expression" dxfId="10" priority="15">
      <formula>DD$9&lt;&gt;""</formula>
    </cfRule>
  </conditionalFormatting>
  <conditionalFormatting sqref="DD10:EG26">
    <cfRule type="expression" dxfId="9" priority="14">
      <formula>MEDIAN(TODAY(),DD$5,DE$5-1)=TODAY()</formula>
    </cfRule>
  </conditionalFormatting>
  <conditionalFormatting sqref="DD9:EG9">
    <cfRule type="expression" dxfId="8" priority="13">
      <formula>AND(MONTH(DD$5)=MONTH(TODAY()),YEAR(DD$5)=YEAR(TODAY()))</formula>
    </cfRule>
  </conditionalFormatting>
  <conditionalFormatting sqref="EP11:EP26">
    <cfRule type="dataBar" priority="11">
      <dataBar showValue="0"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{A5B1B5E9-C9AC-41B6-81A7-A3B8D4568E89}</x14:id>
        </ext>
      </extLst>
    </cfRule>
  </conditionalFormatting>
  <conditionalFormatting sqref="ES11:FV26">
    <cfRule type="expression" dxfId="7" priority="10">
      <formula>MEDIAN(ES$10,$EJ11,$EK11)=ES$10</formula>
    </cfRule>
  </conditionalFormatting>
  <conditionalFormatting sqref="ES9:FV26">
    <cfRule type="expression" dxfId="6" priority="4">
      <formula>AND(MONTH(ES$5)=MONTH(TODAY()),YEAR(ES$5)=YEAR(TODAY()))</formula>
    </cfRule>
    <cfRule type="expression" dxfId="5" priority="7">
      <formula>ES$9&lt;&gt;""</formula>
    </cfRule>
  </conditionalFormatting>
  <conditionalFormatting sqref="H11:CS26">
    <cfRule type="expression" dxfId="4" priority="3">
      <formula>H$5=TODAY()</formula>
    </cfRule>
    <cfRule type="expression" dxfId="3" priority="6">
      <formula>MEDIAN(H$5,$F11,$G11)=H$5</formula>
    </cfRule>
  </conditionalFormatting>
  <conditionalFormatting sqref="H9:CS9">
    <cfRule type="expression" dxfId="2" priority="2">
      <formula>AND(MONTH(H$5)=MONTH(TODAY()),YEAR(H$5)=YEAR(TODAY()))</formula>
    </cfRule>
    <cfRule type="expression" dxfId="1" priority="5">
      <formula>H$9&lt;&gt;""</formula>
    </cfRule>
  </conditionalFormatting>
  <conditionalFormatting sqref="H10:CS10">
    <cfRule type="expression" dxfId="0" priority="1">
      <formula>MEDIAN(TODAY(),H$10,M$10-1)=TODAY()</formula>
    </cfRule>
  </conditionalFormatting>
  <conditionalFormatting sqref="D11:D26">
    <cfRule type="iconSet" priority="35">
      <iconSet>
        <cfvo type="percent" val="0"/>
        <cfvo type="num" val="0.4"/>
        <cfvo type="num" val="0.75"/>
      </iconSet>
    </cfRule>
  </conditionalFormatting>
  <conditionalFormatting sqref="CZ11:CZ26">
    <cfRule type="iconSet" priority="36">
      <iconSet>
        <cfvo type="percent" val="0"/>
        <cfvo type="num" val="0.4"/>
        <cfvo type="num" val="0.75"/>
      </iconSet>
    </cfRule>
  </conditionalFormatting>
  <conditionalFormatting sqref="EO11:EO26">
    <cfRule type="iconSet" priority="38">
      <iconSet>
        <cfvo type="percent" val="0"/>
        <cfvo type="num" val="0.4"/>
        <cfvo type="num" val="0.75"/>
      </iconSet>
    </cfRule>
  </conditionalFormatting>
  <dataValidations disablePrompts="1" count="1">
    <dataValidation type="list" allowBlank="1" showInputMessage="1" showErrorMessage="1" sqref="D6:D8" xr:uid="{00000000-0002-0000-0800-000000000000}">
      <formula1>"Days, Weeks, Months"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Scroll Bar 3">
              <controlPr defaultSize="0" print="0" autoPict="0">
                <anchor moveWithCells="1">
                  <from>
                    <xdr:col>103</xdr:col>
                    <xdr:colOff>38100</xdr:colOff>
                    <xdr:row>4</xdr:row>
                    <xdr:rowOff>9525</xdr:rowOff>
                  </from>
                  <to>
                    <xdr:col>104</xdr:col>
                    <xdr:colOff>76200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BC2E79-00A1-4451-A26F-3C8E733048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E11:E26</xm:sqref>
        </x14:conditionalFormatting>
        <x14:conditionalFormatting xmlns:xm="http://schemas.microsoft.com/office/excel/2006/main">
          <x14:cfRule type="dataBar" id="{046F3BBF-B51E-43B9-B708-B11275F9F5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DA11:DA26</xm:sqref>
        </x14:conditionalFormatting>
        <x14:conditionalFormatting xmlns:xm="http://schemas.microsoft.com/office/excel/2006/main">
          <x14:cfRule type="dataBar" id="{A5B1B5E9-C9AC-41B6-81A7-A3B8D4568E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EP11:EP26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Home</vt:lpstr>
      <vt:lpstr>Dashboard</vt:lpstr>
      <vt:lpstr>Project Details</vt:lpstr>
      <vt:lpstr>Project Plans</vt:lpstr>
      <vt:lpstr>Risks &amp; Issues</vt:lpstr>
      <vt:lpstr>Settings</vt:lpstr>
      <vt:lpstr>Sorting</vt:lpstr>
      <vt:lpstr>Calculations</vt:lpstr>
      <vt:lpstr>Gantt View</vt:lpstr>
      <vt:lpstr>dailyGantt</vt:lpstr>
      <vt:lpstr>lstGanttViews</vt:lpstr>
      <vt:lpstr>lstHolidays</vt:lpstr>
      <vt:lpstr>lstPeople</vt:lpstr>
      <vt:lpstr>lstPlans</vt:lpstr>
      <vt:lpstr>lstProjects</vt:lpstr>
      <vt:lpstr>lstSortTypes</vt:lpstr>
      <vt:lpstr>monthlyGantt</vt:lpstr>
      <vt:lpstr>Dashboard!Print_Area</vt:lpstr>
      <vt:lpstr>top5IssueDates</vt:lpstr>
      <vt:lpstr>top5Issues</vt:lpstr>
      <vt:lpstr>top5Risks</vt:lpstr>
      <vt:lpstr>top5RiskSevs</vt:lpstr>
      <vt:lpstr>valActComps</vt:lpstr>
      <vt:lpstr>valActLabels</vt:lpstr>
      <vt:lpstr>valAmberTh</vt:lpstr>
      <vt:lpstr>valDBShtName</vt:lpstr>
      <vt:lpstr>valGanttStart</vt:lpstr>
      <vt:lpstr>valGanttType</vt:lpstr>
      <vt:lpstr>valGreenTh</vt:lpstr>
      <vt:lpstr>valPrjComment</vt:lpstr>
      <vt:lpstr>valPrjEmail</vt:lpstr>
      <vt:lpstr>valPrjOwner</vt:lpstr>
      <vt:lpstr>valPrjPhone</vt:lpstr>
      <vt:lpstr>valProjectName</vt:lpstr>
      <vt:lpstr>valSortType</vt:lpstr>
      <vt:lpstr>valSP</vt:lpstr>
      <vt:lpstr>valTeamSize</vt:lpstr>
      <vt:lpstr>weeklyGantt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User</cp:lastModifiedBy>
  <cp:lastPrinted>2012-11-14T17:43:35Z</cp:lastPrinted>
  <dcterms:created xsi:type="dcterms:W3CDTF">2012-09-18T05:37:48Z</dcterms:created>
  <dcterms:modified xsi:type="dcterms:W3CDTF">2021-08-31T07:45:25Z</dcterms:modified>
</cp:coreProperties>
</file>